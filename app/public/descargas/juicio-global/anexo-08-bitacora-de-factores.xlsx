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Mi unidad\Procesos del Programa\2025\Acreditacion\Proceso de acreditacion\Anexos\"/>
    </mc:Choice>
  </mc:AlternateContent>
  <xr:revisionPtr revIDLastSave="0" documentId="13_ncr:1_{89075A57-6CDD-4F76-98D3-787EA766E0F7}" xr6:coauthVersionLast="47" xr6:coauthVersionMax="47" xr10:uidLastSave="{00000000-0000-0000-0000-000000000000}"/>
  <bookViews>
    <workbookView xWindow="-108" yWindow="-108" windowWidth="23256" windowHeight="13896" xr2:uid="{00000000-000D-0000-FFFF-FFFF00000000}"/>
  </bookViews>
  <sheets>
    <sheet name="FACTOR 1" sheetId="1" r:id="rId1"/>
    <sheet name="FACTOR 2" sheetId="2" r:id="rId2"/>
    <sheet name="FACTOR 3" sheetId="3" r:id="rId3"/>
    <sheet name="FACTOR 4" sheetId="4" r:id="rId4"/>
    <sheet name="FACTOR 5" sheetId="5" r:id="rId5"/>
    <sheet name="FACTOR 6" sheetId="6" r:id="rId6"/>
    <sheet name="FACTOR 7" sheetId="7" r:id="rId7"/>
    <sheet name="FACTOR 8" sheetId="8" r:id="rId8"/>
    <sheet name="FACTOR 9" sheetId="9" r:id="rId9"/>
    <sheet name="FACTOR 10" sheetId="10" r:id="rId10"/>
    <sheet name="FACTOR 11" sheetId="11" r:id="rId11"/>
    <sheet name="FACTOR 12"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P0HvrHJLtiYSqhIDRchicwtFGCHnzzmttvvJmvp8y4="/>
    </ext>
  </extLst>
</workbook>
</file>

<file path=xl/calcChain.xml><?xml version="1.0" encoding="utf-8"?>
<calcChain xmlns="http://schemas.openxmlformats.org/spreadsheetml/2006/main">
  <c r="J25" i="11" l="1"/>
  <c r="J17" i="11"/>
  <c r="K17" i="11" s="1"/>
  <c r="J7" i="7"/>
  <c r="K7" i="7" s="1"/>
  <c r="I9" i="12"/>
  <c r="H9" i="12"/>
  <c r="K8" i="12"/>
  <c r="J8" i="12"/>
  <c r="I8" i="12"/>
  <c r="H8" i="12"/>
  <c r="I5" i="12"/>
  <c r="H5" i="12"/>
  <c r="J4" i="12"/>
  <c r="K4" i="12" s="1"/>
  <c r="I4" i="12"/>
  <c r="H4" i="12"/>
  <c r="K25" i="11"/>
  <c r="I25" i="11"/>
  <c r="H25" i="11"/>
  <c r="I22" i="11"/>
  <c r="H22" i="11"/>
  <c r="K21" i="11"/>
  <c r="J21" i="11"/>
  <c r="I21" i="11"/>
  <c r="H21" i="11"/>
  <c r="I18" i="11"/>
  <c r="H18" i="11"/>
  <c r="I17" i="11"/>
  <c r="H17" i="11"/>
  <c r="I14" i="11"/>
  <c r="H14" i="11"/>
  <c r="I13" i="11"/>
  <c r="H13" i="11"/>
  <c r="J12" i="11"/>
  <c r="K12" i="11" s="1"/>
  <c r="I12" i="11"/>
  <c r="H12" i="11"/>
  <c r="I9" i="11"/>
  <c r="H9" i="11"/>
  <c r="J8" i="11"/>
  <c r="K8" i="11" s="1"/>
  <c r="I8" i="11"/>
  <c r="H8" i="11"/>
  <c r="I5" i="11"/>
  <c r="H5" i="11"/>
  <c r="K4" i="11"/>
  <c r="J4" i="11"/>
  <c r="I4" i="11"/>
  <c r="H4" i="11"/>
  <c r="I13" i="10"/>
  <c r="H13" i="10"/>
  <c r="K12" i="10"/>
  <c r="J12" i="10"/>
  <c r="I12" i="10"/>
  <c r="H12" i="10"/>
  <c r="I9" i="10"/>
  <c r="H9" i="10"/>
  <c r="K8" i="10"/>
  <c r="J8" i="10"/>
  <c r="I8" i="10"/>
  <c r="H8" i="10"/>
  <c r="I5" i="10"/>
  <c r="H5" i="10"/>
  <c r="K4" i="10"/>
  <c r="J4" i="10"/>
  <c r="I4" i="10"/>
  <c r="H4" i="10"/>
  <c r="I9" i="9"/>
  <c r="H9" i="9"/>
  <c r="K8" i="9"/>
  <c r="J8" i="9"/>
  <c r="I8" i="9"/>
  <c r="H8" i="9"/>
  <c r="I5" i="9"/>
  <c r="H5" i="9"/>
  <c r="K4" i="9"/>
  <c r="J4" i="9"/>
  <c r="I4" i="9"/>
  <c r="H4" i="9"/>
  <c r="I9" i="8"/>
  <c r="H9" i="8"/>
  <c r="J8" i="8"/>
  <c r="K8" i="8" s="1"/>
  <c r="I8" i="8"/>
  <c r="H8" i="8"/>
  <c r="I5" i="8"/>
  <c r="H5" i="8"/>
  <c r="K4" i="8"/>
  <c r="J4" i="8"/>
  <c r="I4" i="8"/>
  <c r="H4" i="8"/>
  <c r="J11" i="7"/>
  <c r="K11" i="7" s="1"/>
  <c r="I11" i="7"/>
  <c r="H11" i="7"/>
  <c r="I8" i="7"/>
  <c r="H8" i="7"/>
  <c r="I7" i="7"/>
  <c r="H7" i="7"/>
  <c r="K4" i="7"/>
  <c r="J4" i="7"/>
  <c r="I4" i="7"/>
  <c r="H4" i="7"/>
  <c r="I16" i="6"/>
  <c r="H16" i="6"/>
  <c r="K15" i="6"/>
  <c r="J15" i="6"/>
  <c r="I15" i="6"/>
  <c r="H15" i="6"/>
  <c r="K12" i="6"/>
  <c r="J12" i="6"/>
  <c r="I12" i="6"/>
  <c r="H12" i="6"/>
  <c r="I9" i="6"/>
  <c r="H9" i="6"/>
  <c r="I8" i="6"/>
  <c r="H8" i="6"/>
  <c r="K7" i="6"/>
  <c r="J7" i="6"/>
  <c r="I7" i="6"/>
  <c r="H7" i="6"/>
  <c r="K4" i="6"/>
  <c r="J4" i="6"/>
  <c r="I4" i="6"/>
  <c r="H4" i="6"/>
  <c r="I37" i="5"/>
  <c r="H37" i="5"/>
  <c r="J36" i="5"/>
  <c r="K36" i="5" s="1"/>
  <c r="I36" i="5"/>
  <c r="H36" i="5"/>
  <c r="I33" i="5"/>
  <c r="H33" i="5"/>
  <c r="K32" i="5"/>
  <c r="J32" i="5"/>
  <c r="I32" i="5"/>
  <c r="H32" i="5"/>
  <c r="K29" i="5"/>
  <c r="J29" i="5"/>
  <c r="I29" i="5"/>
  <c r="H29" i="5"/>
  <c r="I26" i="5"/>
  <c r="H26" i="5"/>
  <c r="J25" i="5"/>
  <c r="K25" i="5" s="1"/>
  <c r="I25" i="5"/>
  <c r="H25" i="5"/>
  <c r="I22" i="5"/>
  <c r="H22" i="5"/>
  <c r="I21" i="5"/>
  <c r="H21" i="5"/>
  <c r="K20" i="5"/>
  <c r="J20" i="5"/>
  <c r="I20" i="5"/>
  <c r="H20" i="5"/>
  <c r="I17" i="5"/>
  <c r="H17" i="5"/>
  <c r="K16" i="5"/>
  <c r="J16" i="5"/>
  <c r="I16" i="5"/>
  <c r="H16" i="5"/>
  <c r="I13" i="5"/>
  <c r="H13" i="5"/>
  <c r="K12" i="5"/>
  <c r="J12" i="5"/>
  <c r="I12" i="5"/>
  <c r="H12" i="5"/>
  <c r="I9" i="5"/>
  <c r="H9" i="5"/>
  <c r="K8" i="5"/>
  <c r="J8" i="5"/>
  <c r="I8" i="5"/>
  <c r="H8" i="5"/>
  <c r="I5" i="5"/>
  <c r="H5" i="5"/>
  <c r="J4" i="5"/>
  <c r="K4" i="5" s="1"/>
  <c r="I4" i="5"/>
  <c r="H4" i="5"/>
  <c r="I9" i="4"/>
  <c r="H9" i="4"/>
  <c r="K8" i="4"/>
  <c r="J8" i="4"/>
  <c r="I8" i="4"/>
  <c r="H8" i="4"/>
  <c r="I5" i="4"/>
  <c r="H5" i="4"/>
  <c r="K4" i="4"/>
  <c r="J4" i="4"/>
  <c r="I4" i="4"/>
  <c r="H4" i="4"/>
  <c r="I37" i="3"/>
  <c r="H37" i="3"/>
  <c r="K36" i="3"/>
  <c r="J36" i="3"/>
  <c r="I36" i="3"/>
  <c r="H36" i="3"/>
  <c r="K33" i="3"/>
  <c r="J33" i="3"/>
  <c r="I33" i="3"/>
  <c r="H33" i="3"/>
  <c r="I30" i="3"/>
  <c r="H30" i="3"/>
  <c r="K28" i="3"/>
  <c r="J28" i="3"/>
  <c r="I28" i="3"/>
  <c r="H28" i="3"/>
  <c r="I25" i="3"/>
  <c r="H25" i="3"/>
  <c r="K24" i="3"/>
  <c r="J24" i="3"/>
  <c r="I24" i="3"/>
  <c r="H24" i="3"/>
  <c r="I21" i="3"/>
  <c r="H21" i="3"/>
  <c r="I20" i="3"/>
  <c r="H20" i="3"/>
  <c r="K19" i="3"/>
  <c r="J19" i="3"/>
  <c r="I19" i="3"/>
  <c r="H19" i="3"/>
  <c r="I16" i="3"/>
  <c r="H16" i="3"/>
  <c r="I15" i="3"/>
  <c r="H15" i="3"/>
  <c r="I14" i="3"/>
  <c r="H14" i="3"/>
  <c r="K13" i="3"/>
  <c r="J13" i="3"/>
  <c r="I13" i="3"/>
  <c r="H13" i="3"/>
  <c r="I10" i="3"/>
  <c r="H10" i="3"/>
  <c r="I9" i="3"/>
  <c r="H9" i="3"/>
  <c r="K8" i="3"/>
  <c r="J8" i="3"/>
  <c r="I8" i="3"/>
  <c r="H8" i="3"/>
  <c r="I5" i="3"/>
  <c r="H5" i="3"/>
  <c r="K4" i="3"/>
  <c r="J4" i="3"/>
  <c r="I4" i="3"/>
  <c r="H4" i="3"/>
  <c r="I21" i="2"/>
  <c r="H21" i="2"/>
  <c r="K20" i="2"/>
  <c r="J20" i="2"/>
  <c r="I20" i="2"/>
  <c r="H20" i="2"/>
  <c r="I17" i="2"/>
  <c r="H17" i="2"/>
  <c r="K16" i="2"/>
  <c r="J16" i="2"/>
  <c r="I16" i="2"/>
  <c r="H16" i="2"/>
  <c r="K13" i="2"/>
  <c r="J13" i="2"/>
  <c r="I13" i="2"/>
  <c r="H13" i="2"/>
  <c r="K10" i="2"/>
  <c r="J10" i="2"/>
  <c r="I10" i="2"/>
  <c r="H10" i="2"/>
  <c r="I7" i="2"/>
  <c r="H7" i="2"/>
  <c r="I6" i="2"/>
  <c r="H6" i="2"/>
  <c r="I5" i="2"/>
  <c r="H5" i="2"/>
  <c r="K4" i="2"/>
  <c r="J4" i="2"/>
  <c r="I4" i="2"/>
  <c r="H4" i="2"/>
  <c r="I9" i="1"/>
  <c r="H9" i="1"/>
  <c r="I8" i="1"/>
  <c r="H8" i="1"/>
  <c r="J7" i="1"/>
  <c r="K7" i="1" s="1"/>
  <c r="I7" i="1"/>
  <c r="H7" i="1"/>
  <c r="J4" i="1"/>
  <c r="K4" i="1" s="1"/>
  <c r="I4" i="1"/>
  <c r="H4" i="1"/>
</calcChain>
</file>

<file path=xl/sharedStrings.xml><?xml version="1.0" encoding="utf-8"?>
<sst xmlns="http://schemas.openxmlformats.org/spreadsheetml/2006/main" count="1104" uniqueCount="521">
  <si>
    <t>FACTOR 1. PROYECTO EDUCATIVO DEL PROGRAMA E IDENTIDAD INSTITUCIONAL</t>
  </si>
  <si>
    <t xml:space="preserve">Característica 1. </t>
  </si>
  <si>
    <t>Proyecto Educactivo del Programa</t>
  </si>
  <si>
    <t>N° Aspecto</t>
  </si>
  <si>
    <t xml:space="preserve">Aspectos por evaluar </t>
  </si>
  <si>
    <t>Clasificación del aspecto</t>
  </si>
  <si>
    <t>Fuente de la información</t>
  </si>
  <si>
    <t>Documento soporte</t>
  </si>
  <si>
    <t>Respuesta - Argumento frentel al aspecto</t>
  </si>
  <si>
    <t>Calificación cumplimiento (0 - 100)</t>
  </si>
  <si>
    <t xml:space="preserve">Estado de cumplimiento </t>
  </si>
  <si>
    <t xml:space="preserve">Calificación global </t>
  </si>
  <si>
    <t>Aspecto 1.1.</t>
  </si>
  <si>
    <t>Demostrar coherencia del Proyecto Educativo del Programa (PEP) o el que haga sus veces, con los lineamientos y políticas institucionales, así como en la definición de objetivos de formación y resultados de aprendizaje y la manera cómo el PEP ha ido mejorando, como resultado de los procesos de aseguramiento de la calidad, la consolidación de la identidad institucional y la relación que mantiene con la comunidad y sus grupos de interés.</t>
  </si>
  <si>
    <t>Documental - Análisis</t>
  </si>
  <si>
    <t>Programa académico</t>
  </si>
  <si>
    <t xml:space="preserve">Proyecto Educativo del Programa (PEP) del programa de Ingeniería de Sistemas.
</t>
  </si>
  <si>
    <t>El Proyecto Educativo del Programa (PEP) de Ingeniería de Sistemas de la Universidad de La Guajira evidencia una clara coherencia con los lineamientos y políticas institucionales, al reflejar en su misión, visión y objeto de estudio el compromiso con la formación integral de profesionales innovadores, éticos y socialmente responsables. El programa se articula con el Proyecto Educativo Institucional (PEI) al promover la transformación digital, el desarrollo sostenible, la inclusión y la pertinencia regional mediante un currículo actualizado, interdisciplinario y orientado a las necesidades del entorno.
El plan de estudios incorpora componentes básicos, disciplinares y profesionales que integran ciencia, tecnología e innovación, en concordancia con las políticas nacionales de educación superior y las exigencias del sector productivo. Además, el programa fortalece la investigación y la proyección social a través de grupos y semilleros articulados a líneas estratégicas como tecnologías emergentes, inteligencia artificial, ciencia de datos y ciberseguridad.
Asimismo, se han implementado mecanismos de autorregulación como la Autoevaluación periódica, garantizando la mejora continua y la calidad académica, alineándose con los principios institucionales de excelencia, pertinencia y compromiso con el desarrollo regional y nacional.</t>
  </si>
  <si>
    <t xml:space="preserve">Característica 2. </t>
  </si>
  <si>
    <t xml:space="preserve">Relevancia académica y pertinencia social del programa académico </t>
  </si>
  <si>
    <t>Aspecto 2.1.</t>
  </si>
  <si>
    <t>Análisis sobre las tendencias, necesidades y líneas de desarrollo de la disciplina o profesión, en el contexto regional, nacional e internacional.</t>
  </si>
  <si>
    <t>Análisis de comparabilidad y tendencias de ingeniería de sistemas</t>
  </si>
  <si>
    <t xml:space="preserve"> El Programa de Ingeniería de Sistemas de la Universidad de La Guajira realiza un análisis pertinente y actualizado de las tendencias y necesidades de la disciplina en los contextos regional, nacional e internacional, lo cual se refleja en su estructura curricular, líneas de investigación y proyección académica. En el ámbito global, la profesión está influenciada por la Cuarta Revolución Industrial, con una creciente demanda de profesionales capacitados en tecnologías emergentes como inteligencia artificial, ciencia de datos, computación en la nube, Internet de las Cosas (IoT), ciberseguridad y desarrollo de software, campos que han sido incorporados en el plan de estudios y las electivas de profundización del programa.
A nivel nacional, el programa responde a los lineamientos del Ministerio de Educación Nacional (MEN) y a las recomendaciones de ACOFI, asegurando la formación de ingenieros competentes para el desarrollo digital del país. En lo regional, se enfoca en atender las problemáticas y oportunidades del departamento de La Guajira, promoviendo la transformación digital en sectores como la educación, la salud, el comercio y la gestión pública, y fortaleciendo la capacidad tecnológica de las comunidades.
</t>
  </si>
  <si>
    <t>Aspecto 2.2.</t>
  </si>
  <si>
    <t xml:space="preserve">Estudio de la pertinencia social del programa desde la perspectiva de la comunidad académica y de sus grupos de interés con el fin de identificar necesidades y requerimientos del entorno local, regional o nacional en términos productivos y de competitividad, tecnológicos, culturales, científicos y de talento humano. </t>
  </si>
  <si>
    <t>Documental - Estudio(s)</t>
  </si>
  <si>
    <t>Programa académico
Dirección de Extensión</t>
  </si>
  <si>
    <t xml:space="preserve">Estudio de pertinencia del programa.
Analisis de las encuestas aplicadas a la comunidad academica del programa ingeniería de Sistemas. 
</t>
  </si>
  <si>
    <t>A través de encuestas aplicadas a estudiantes, profesores, graduados, directivos/administrativos y representantes del sector productivo en las sedes de Riohacha y Maicao, se evidenció una percepción positiva sobre la pertinencia social del Programa de Ingeniería de Sistemas. Los encuestados destacan que el programa responde a las necesidades del entorno regional y nacional, forma profesionales con competencias relevantes en tecnología e innovación, y contribuye al desarrollo económico y digital de La Guajira. Se resalta la calidad de la formación, la empleabilidad de los egresados y el impacto del programa en la transformación social, especialmente por su cobertura en zonas con limitado acceso a educación superior.</t>
  </si>
  <si>
    <t>Aspecto 2.3.</t>
  </si>
  <si>
    <t>Evidencia de las transformaciones sociales pertinentes para el contexto y el territorio en el que se ofrece el programa académico, y del entorno tanto nacional como internacional.</t>
  </si>
  <si>
    <t>Documental - Evidencias</t>
  </si>
  <si>
    <t>Informe de Actividades de extension y proyeccion social
Informe de sistemas de informacion desarrollados</t>
  </si>
  <si>
    <t>El Programa de Ingeniería de Sistemas de la Universidad de La Guajira ha generado impactos sociales significativos en el contexto regional y nacional, contribuyendo activamente a la transformación del territorio a través de proyectos de extensión, cooperación, investigación y el desempeño de sus egresados.
En el ámbito institucional, se destaca el desarrollo de múltiples sistemas de información orientados a la optimización de procesos administrativos y académicos, muchos de los cuales han sido diseñados e implementados por egresados del programa. Estos desarrollos fortalecen la eficiencia institucional y demuestran la capacidad de los profesionales formados para responder a las necesidades tecnológicas de la región.
En cuanto a la proyección social, entre los años 2019 y 2024, el programa ha ejecutado una amplia variedad de actividades de extensión, tales como talleres, ferias de emprendimiento, ciclos de conferencias, apropiación de tecnologías XR, mesas de innovación, eventos culturales, entre otros. Estas actividades han beneficiado tanto a comunidades educativas como a actores del sector productivo, promoviendo el desarrollo de competencias digitales, la innovación social y la transformación tecnológica en municipios como Riohacha y Maicao.
Adicionalmente, la participación activa de estudiantes y docentes en iniciativas de formación, sensibilización y transferencia de tecnología ha fortalecido los vínculos entre la universidad y el entorno. Se evidencian acciones alineadas con los Objetivos de Desarrollo Sostenible (ODS), especialmente en educación de calidad, reducción de desigualdades, trabajo decente, innovación e infraestructura.</t>
  </si>
  <si>
    <t xml:space="preserve">FACTOR 2. ESTUDIANTES </t>
  </si>
  <si>
    <t xml:space="preserve">Característica 3. </t>
  </si>
  <si>
    <t>Participación en actividades de formación integral</t>
  </si>
  <si>
    <t>Aspecto 3.1.</t>
  </si>
  <si>
    <t>Apreciación de los estudiantes en relación con su participación en las actividades de investigación, desarrollo tecnológico, creación artística, culturales, deportivas y de extensión, que contribuyen a su formación integral, junto con las acciones emprendidas como resultado de dichas apreciaciones.</t>
  </si>
  <si>
    <t xml:space="preserve">Apreciación </t>
  </si>
  <si>
    <t xml:space="preserve">Aseguramiento de la calidad </t>
  </si>
  <si>
    <t>Informe de resultados de las encuestas aplicadas o grupos focales desarrollados</t>
  </si>
  <si>
    <t xml:space="preserve">Los resultados de las encuestas aplicadas a estudiantes del Programa de Ingeniería de Sistemas en las sedes de Riohacha y Maicao evidencian una percepción favorable sobre su participación en actividades de investigación, desarrollo tecnológico, culturales y de extensión. La muchos manifestaron haber participado en eventos como ferias tecnológicas, semilleros de investigación y actividades deportivas y culturales. En cuanto a la valoración de su experiencia, calificaron mayoritariamente como “Excelente” y “Muy buena” su participación, destacando el impacto positivo de estas actividades en su formación integral. La participación total combinada alcanzó un 96,37%, lo que refleja un alto nivel de involucramiento estudiantil. </t>
  </si>
  <si>
    <t>Aspecto 3.2.</t>
  </si>
  <si>
    <t>Resultados del análisis de la participación y principales logros de los estudiantes en actividades de investigación, desarrollo tecnológico, innovación, creación artística, culturales y deportivas.</t>
  </si>
  <si>
    <t>Programa académico
Dirección de Investigación
Bienestar Social Universitario</t>
  </si>
  <si>
    <t>Informe de bienestar universitario por factor.
Resultados participación y logro de los estudiantes en actividades de formación integral
Informe de investigación</t>
  </si>
  <si>
    <t>Durante el periodo 2019–2024, los estudiantes del Programa de Ingeniería de Sistemas han demostrado una participación activa y creciente en las actividades de formación integral. En el ámbito investigativo, se registra la participación en al menos 1 proyecto financiado en 2023 dentro de la convocatoria interna para semilleros de investigación, con recursos asignados por la Universidad de La Guajira, y orientado a las competencias digitales. Además, en los años 2023 y 2024, los estudiantes presentaron al menos 6 ponencias en eventos académicos de nivel departamental, nacional e internacional, con énfasis en innovación tecnológica y desarrollo de software. En el componente cultural y deportivo, los registros de Bienestar Universitario evidencian más de 2.000 participaciones en actividades culturales (música, danza, teatro, etc.) y 2.546 participaciones en actividades deportivas, incluyendo torneos y recreación. A esto se suman más de 4.100 participaciones en actividades de desarrollo humano como liderazgo, salud mental y formación para la vida. Estos logros reflejan el compromiso del programa con la formación integral, fomentando competencias investigativas, tecnológicas, sociales, artísticas y físicas, necesarias para el desarrollo personal y profesional de los estudiantes.</t>
  </si>
  <si>
    <t xml:space="preserve">Aspecto 3.3. </t>
  </si>
  <si>
    <t xml:space="preserve">Resultados del análisis de la participación y principales logros de los estudiantes en proyectos de desarrollo empresarial, relacionamiento nacional e internacional. </t>
  </si>
  <si>
    <t>Programa académico
Dirección de Extensión 
Dirección de Emprendimiento
ORI</t>
  </si>
  <si>
    <t>Informe de Resultados del análisis de la participación y principales logros de los estudiantes en proyectos de desarrollo empresarial, relacionamiento nacional e internaciona</t>
  </si>
  <si>
    <t>Durante el periodo 2022–2024, los estudiantes del Programa de Ingeniería de Sistemas han fortalecido su vinculación con el sector empresarial a través de prácticas profesionales y pasantías en al menos 30 entidades distintas, tanto públicas como privadas. Estas experiencias han generado proyectos concretos en desarrollo de software, soporte técnico, automatización de procesos, bases de datos y análisis de información, muchos de ellos como resultado directo de las actividades derivadas de las prácticas. Esta participación evidencia el compromiso del programa con la formación orientada a la solución de problemáticas reales del entorno, así como la consolidación de alianzas con el sector productivo regional y nacional. Además, estos vínculos han impulsado el reconocimiento del programa y han potenciado el desarrollo de competencias empresariales en los estudiantes, mejorando su empleabilidad y promoviendo una cultura de innovación con proyección nacional e internacional.</t>
  </si>
  <si>
    <t xml:space="preserve">Aspecto 3.4. </t>
  </si>
  <si>
    <t>Resultados del análisis de la participación y principales logros de los estudiantes en otras acciones de formación complementaria, que promuevan la comprensión de la realidad social, la empatía, la ética, habilidades blandas, así como el relacionamiento con otras culturas y lenguas, de acuerdo con el nivel de formación y la modalidad del programa.</t>
  </si>
  <si>
    <t>Programa académico
Centro de Lenguas
ORI
Bienestar Universitarios</t>
  </si>
  <si>
    <t>Informe de Bienestar Social Universitario (2019–2024)
Informe del centro de lenguas
Informe de extension y proyeccion social</t>
  </si>
  <si>
    <t>Durante el periodo 2019–2024, los estudiantes del Programa de Ingeniería de Sistemas han participado activamente en acciones de formación complementaria orientadas al fortalecimiento de habilidades blandas, la comprensión de la realidad social, el fomento de la empatía, la ética, la interculturalidad y el aprendizaje de lenguas. A través del Centro de Lenguas, se promovió la política de multilingüismo mediante cursos, talleres, clubes conversacionales y eventos interculturales. En este marco, estudiantes del programa participaron en actividades como el Club de Lenguas, cursos básicos de francés, talleres de Wayuunaiki, jornadas bilingües, actividades de integración como World Voices y Bright Minds, así como en pruebas de nivel en inglés y uso de plataformas como ELL. En total, se registró la participación de más de 80 estudiantes en iniciativas relacionadas con lenguas extranjeras y culturas.
Por su parte, el área de Bienestar Social Universitario fortaleció la dimensión humana, artística, deportiva y psicoemocional del estudiantado. En cultura, se documentaron 2.138 participaciones en disciplinas como danza, teatro, música, origami, artes plásticas y eventos de proyección artística. En deporte, se contabilizaron 2.546 participaciones, destacando disciplinas como fútbol, voleibol, baloncesto y taekwondo. Además, 4.156 estudiantes participaron en el área de desarrollo humano mediante servicios como orientación profesional, salud mental, liderazgo, cultura universitaria, adaptación a la vida académica, y estrategias de inclusión (Uniguajira Inclusiva).</t>
  </si>
  <si>
    <t xml:space="preserve">Característica 4. </t>
  </si>
  <si>
    <t>Orientación y seguimiento a estudiantes</t>
  </si>
  <si>
    <t>Aspecto 4.1.</t>
  </si>
  <si>
    <t>Evidencia de los efectos en la formación de los estudiantes, a partir de los procesos de orientación y seguimiento
de los estudiantes, teniendo como referencia sus características de ingreso.</t>
  </si>
  <si>
    <t>Programa Académico
Bienestar Universitario
Admisiones y Registro</t>
  </si>
  <si>
    <t>Informe de Bienestar Social Universitario (2019–2024)</t>
  </si>
  <si>
    <t>Entre 2019 y 2024, el Programa de Ingeniería de Sistemas ha implementado estrategias de orientación y seguimiento académico con base en la caracterización socioeconómica y académica de los estudiantes al momento de su ingreso. Estas estrategias, lideradas por el área de Bienestar Social Universitario y la Coordinación de Permanencia y Graduación Exitosa, han permitido identificar y acompañar a estudiantes en riesgo académico, mediante el fortalecimiento de competencias académicas y emocionales.
Durante este periodo, más de 4.000 participaciones de estudiantes del programa se registraron en el componente de desarrollo humano, particularmente en servicios de acompañamiento psicológico, orientación vocacional, formación en habilidades blandas y liderazgo estudiantil. Asimismo, se promovieron acciones específicas de adaptación a la vida universitaria y asesorías académicas en materias críticas. En el marco del plan de tutorías, al menos 12 estudiantes del programa han sido reconocidos por su participación activa como tutores, y más de 150 estudiantes han recibido acompañamiento académico en tutorías por bajo rendimiento, evidenciándose mejoras en su desempeño en los semestres siguientes.</t>
  </si>
  <si>
    <t xml:space="preserve">Característica 5. </t>
  </si>
  <si>
    <t>Capacidad de trabajo autónomo</t>
  </si>
  <si>
    <t>Aspecto 5.1.</t>
  </si>
  <si>
    <t>Evidencia de los resultados de las estrategias de seguimiento y evaluación de los resultados de aprendizaje en el
desarrollo de capacidades para el del trabajo autónomo del estudiante.</t>
  </si>
  <si>
    <t xml:space="preserve">Programa académico
Vicerrectoría Académica </t>
  </si>
  <si>
    <t>Informe de Bienestar Social Universitario (2019–2024)
Resultados de aprendizaje y mecanismos de evaluacion Ingenieria de sistemas</t>
  </si>
  <si>
    <t>Durante el periodo 2019–2024, el Programa de Ingeniería de Sistemas ha implementado diversas estrategias para el fortalecimiento del trabajo autónomo de los estudiantes, evidenciadas en el seguimiento a los resultados de aprendizaje y en acciones como tutorías, mentorías, madrinazgo y acompañamiento académico, que registraron más de 3.800 participaciones. Los resultados de aprendizaje se evalúan por ciclos, utilizando pruebas tipo test y criterios basados en la taxonomía SOLO, lo que permite al estudiante reconocer su progreso y fortalecer su capacidad de autogestión. El programa ha dispuesto ambientes flexibles, recursos tecnológicos, aulas activas, asesorías y plataformas virtuales que facilitan el estudio independiente. Estas acciones han contribuido a la disminución de la deserción (de 14,95% en 2021-1 a 8,67% en 2023-1) y al fortalecimiento de la autonomía académica, el pensamiento crítico y la responsabilidad personal del estudiante frente a su proceso formativo.</t>
  </si>
  <si>
    <t xml:space="preserve">Característica 6. </t>
  </si>
  <si>
    <t>Reglamento estudiantil y política académica</t>
  </si>
  <si>
    <t>Aspecto 6.1.</t>
  </si>
  <si>
    <t>Apreciación de estudiantes y profesores del programa sobre la pertinencia, vigencia y aplicación del reglamento estudiantil y las políticas académicas y, sobre las estrategias de divulgación de dicha reglamentación, junto con las acciones emprendidas como resultado de dichas apreciaciones.</t>
  </si>
  <si>
    <t>Los resultados obtenidos a partir de las encuestas aplicadas a estudiantes del Programa de Ingeniería de Sistemas en las sedes de Riohacha y Maicao muestran una percepción favorable frente a la pertinencia y vigencia del reglamento estudiantil y las políticas académicas institucionales. La mayoría manifestó estar al tanto de los lineamientos generales del reglamento, reconociendo su importancia para orientar el comportamiento académico, disciplinario y administrativo. En particular, un 89% de los estudiantes de la sede Riohacha calificó como “Excelente” (53%) o “Muy buena” (33%) la orientación recibida sobre estas normativas, lo cual evidencia una apropiación adecuada de los canales institucionales para su divulgación. Esta orientación se brinda a través de actividades de inducción, jornadas de socialización, asesorías personalizadas y estrategias de acompañamiento desarrolladas por la coordinación del programa, Bienestar Universitario y la Dirección de Docencia.</t>
  </si>
  <si>
    <t>Aspecto 6.2.</t>
  </si>
  <si>
    <t xml:space="preserve">Evidencia de los mecanismos para la aplicación, actualización y divulgación del reglamento estudiantil.
</t>
  </si>
  <si>
    <t>Documental - evidencias</t>
  </si>
  <si>
    <t>Informe de Bienestar Social Universitario (2019–2024)
Informe de actividad de socializacion del reglamento estudiantil.
Programa referencial de Ingenieria de sistemas.</t>
  </si>
  <si>
    <t xml:space="preserve">El Programa de Ingeniería de Sistemas de la Universidad de La Guajira ha establecido mecanismos claros y sostenidos para la aplicación, divulgación y apropiación del reglamento estudiantil. Desde Bienestar Universitario, se desarrolla anualmente la actividad de socialización del reglamento estudiantil, dirigida a estudiantes nuevos y antiguos, como parte de los procesos de inducción, adaptación a la vida universitaria y fortalecimiento de la cultura institucional. Durante el periodo 2019–2024, estas actividades han registrado participación activa en todas las sedes, como evidencia de su implementación sistemática. Adicionalmente, el contenido programático de la asignatura Cátedra Uniguajira, incluida en el plan de estudios del programa, contempla una unidad específica para el análisis del reglamento estudiantil, asegurando que todos los estudiantes conozcan sus derechos, deberes y rutas de acompañamiento institucional. </t>
  </si>
  <si>
    <t xml:space="preserve">Característica 7. </t>
  </si>
  <si>
    <t xml:space="preserve">Estimulos y apoyos para estudiantes </t>
  </si>
  <si>
    <t>Aspecto 7.1.</t>
  </si>
  <si>
    <t xml:space="preserve">Evidencia de los beneficios generados por el otorgamiento de estímulos académicos y apoyos socioeconómicos
a los estudiantes. </t>
  </si>
  <si>
    <t>Documental - Resultados</t>
  </si>
  <si>
    <t>Programa Académico 
Bienestar Universitario 
Vicerrectoría Administrativa y Financiera</t>
  </si>
  <si>
    <t xml:space="preserve">Durante el periodo 2019–2024, el Programa de Ingeniería de Sistemas ha contribuido activamente a la permanencia y graduación exitosa de sus estudiantes mediante la implementación de estímulos académicos y apoyos socioeconómicos institucionales. Desde Bienestar Universitario, se reporta que 1.337 estudiantes del programa accedieron a apoyos como monitorías, becas, subsidios de alimentación y transporte, generando un impacto significativo en la reducción de la deserción y el fortalecimiento de la equidad. En el ámbito académico, se han otorgado reconocimientos a estudiantes con alto rendimiento y compromiso institucional a través del evento institucional "Acto de Exaltación", donde se destaca la participación recurrente de estudiantes de Ingeniería de Sistemas, tanto por méritos académicos como por su rol como tutores y mentores. Estos estímulos han fortalecido la motivación, el sentido de pertenencia y el desempeño académico de los beneficiarios. </t>
  </si>
  <si>
    <t>Aspecto 7.2.</t>
  </si>
  <si>
    <t>Apreciación de los estudiantes del programa frente a la aplicación de los estímulos académicos y apoyos socioeconómicos, y el cumplimiento institucional de estas medidas, junto con las acciones emprendidas como resultado de dichas apreciaciones.</t>
  </si>
  <si>
    <t>Según los resultados de las encuestas aplicadas a estudiantes del Programa de Ingeniería de Sistemas en las sedes de Riohacha y Maicao, un 84% de los encuestados manifestó una apreciación positiva (entre "Excelente" y "Muy buena") frente a la existencia y aplicación de los estímulos académicos y apoyos socioeconómicos otorgados por la Universidad. Los estudiantes valoran especialmente los beneficios relacionados con becas, subsidios, monitorías, tutorías y reconocimientos públicos, afirmando que estos han contribuido significativamente a su permanencia y rendimiento académico. Sin embargo, un grupo minoritario expresó la necesidad de mejorar la difusión de convocatorias y asegurar mayor equidad en el proceso de asignación. En respuesta a estas apreciaciones, el programa ha articulado acciones con Bienestar Universitario, fortaleciendo los mecanismos de comunicación institucional, actualizando criterios de asignación y realizando procesos de seguimiento más transparentes, lo cual ha permitido optimizar el impacto de estas estrategias en la formación integral del estudiantado.</t>
  </si>
  <si>
    <t>FACTOR 3. PROFESORES</t>
  </si>
  <si>
    <t xml:space="preserve">Característica 8. </t>
  </si>
  <si>
    <t>Selección, vinculación y permanencia</t>
  </si>
  <si>
    <t xml:space="preserve">Fuente de la información </t>
  </si>
  <si>
    <t>Aspecto 8.1.</t>
  </si>
  <si>
    <t>Evidencia de la aplicación de los procesos de selección, vinculación y permanencia de los profesores, en coherencia con el nivel de formación, modalidad del programa académico y lugar de desarrollo.</t>
  </si>
  <si>
    <t>Talento Humano
Vicerrectoría Académica</t>
  </si>
  <si>
    <t>Acuerdo 005 del 22 de marzo de 2006 – Estatuto Profesoral
Acuerdo 025 del 4 de diciembre de 2002 – Vinculación y remuneración de profesores ocasionales y de hora cátedra
Reglamento de Vinculación Docente 001 de 2025</t>
  </si>
  <si>
    <t>El Programa de Ingeniería de Sistemas de la Universidad de La Guajira aplica de manera coherente y normada los procesos de selección, vinculación y permanencia del personal docente, conforme al nivel de formación y la modalidad del programa. El ingreso de los profesores de planta se realiza mediante concurso público de méritos, siguiendo los lineamientos del Estatuto Profesoral (Acuerdo 005 de 2006), el cual establece criterios rigurosos de evaluación basados en formación académica, experiencia docente, productividad académica y sustentación oral. Por su parte, los profesores ocasionales y de hora-cátedra son vinculados con base en el Reglamento de Vinculación Docente (Acuerdo 001 de 2025), que exige título profesional, formación pedagógica, experiencia docente o profesional, y participación previa en procesos de selección organizados por la Vicerrectoría Académica. La permanencia en el cuerpo docente se fundamenta en procesos periódicos de evaluación de desempeño, escalafonamiento y categorización, garantizando la calidad académica, la pertinencia disciplinar y la estabilidad del cuerpo profesoral en todas las sedes donde se desarrolla el programa.</t>
  </si>
  <si>
    <t>Aspecto 8.2.</t>
  </si>
  <si>
    <t>Apreciación de los profesores sobre la aplicación, pertinencia y vigencia de las políticas, normas y criterios académicos establecidos por la institución para su selección, vinculación y permanencia, junto con las acciones emprendidas como resultado de dichas apreciaciones.</t>
  </si>
  <si>
    <t>Los resultados de las encuestas aplicadas a los docentes del Programa de Ingeniería de Sistemas en las sedes de Maicao y Riohacha reflejan una percepción favorable respecto a las políticas institucionales relacionadas con su vinculación y permanencia. El 94% de los docentes manifestó conocer que la Universidad de La Guajira selecciona y contrata a los profesores bajo políticas, normas y criterios previamente definidos. En cuanto a los procesos de selección y contratación, el 89% los calificó como “buenos” o “muy buenos”, mientras que las estrategias de permanencia docente recibieron valoraciones positivas en un 85% de los casos. Además, un 100% de los encuestados indicó tener conocimiento del Estatuto Profesoral, y el 91% calificó su aplicación como eficiente o muy eficiente. Estas apreciaciones evidencian el grado de alineación entre las políticas institucionales y la percepción del cuerpo docente.</t>
  </si>
  <si>
    <t xml:space="preserve">Característica 9. </t>
  </si>
  <si>
    <t xml:space="preserve">Estatuto profesoral </t>
  </si>
  <si>
    <t>Aspecto 9.1.</t>
  </si>
  <si>
    <t>Evidencia que demuestren los resultados de la aplicación del estatuto profesoral, o el que haga sus veces, sobre la trayectoria profesoral, la inclusión, el reconocimiento de méritos y el ascenso en el escalafón, de acuerdo con el nivel de formación y la modalidad del programa.</t>
  </si>
  <si>
    <t xml:space="preserve">
Documental - Evidencias</t>
  </si>
  <si>
    <t>Vicerrectoría Académica
Talento Humano</t>
  </si>
  <si>
    <t>Acuerdo No. 005 de 2006, Estatuto Profesoral.
Acuerdo No. 019 de 2022, “por el cual se modifica parcialmente y adiciona el acuerdo No. 005 del 2006 estatuto profesoral de la Universidad de La Guajira”, 
 Actas Ciarp 
001 de 2025 Reglamento de Vinculacion Docentes.</t>
  </si>
  <si>
    <t>Durante el periodo 2018–2024, el Programa de Ingeniería de Sistemas ha demostrado la aplicación efectiva del Estatuto Profesoral de la Universidad de La Guajira mediante procesos de evaluación, promoción y ascenso de su planta docente. En este periodo se registraron 6 ascensos en el escalafón a la categoría de Docente Asociado, todos ellos correspondientes a la sede Riohacha y sustentados en criterios de trayectoria académica, formación posgradual y producción intelectual, en concordancia con lo estipulado en el Acuerdo 005 de 2006. Estos ascensos son resultado de evaluaciones periódicas realizadas por el CIARP, con asignación de puntajes por méritos. La totalidad de los docentes promovidos cumplió con requisitos de nivel de formación (maestría y doctorado) y experiencia en docencia e investigación.
Asimismo, se evidencia una trayectoria profesoral consolidada, con docentes que acumulan más de 5 años de experiencia institucional y que han participado activamente en investigación, dirección de trabajos de grado, publicaciones científicas y eventos académicos. La inclusión se garantiza a través de convocatorias públicas, en las cuales se ha asegurado la participación equitativa de aspirantes bajo criterios de mérito y transparencia. Estos avances fortalecen el desarrollo del talento humano del programa y reflejan el compromiso institucional con la calidad académica y la dignificación de la carrera profesoral.</t>
  </si>
  <si>
    <t>Aspecto 9.2.</t>
  </si>
  <si>
    <t>Resultados en el mejoramiento de la calidad del programa, a partir de la aplicación de un estatuto que promueve la trayectoria profesoral, la inclusión, el reconocimiento de los méritos y el ascenso en el escalafón.</t>
  </si>
  <si>
    <t xml:space="preserve">Programa académico
</t>
  </si>
  <si>
    <t>Estatuto profesoral (Acuerdo 005 de 2006)
Actas de ascensos 2018–2024
Certificados de participación académica o actos de exaltación</t>
  </si>
  <si>
    <t>La aplicación del Estatuto Profesoral en el Programa de Ingeniería de Sistemas ha contribuido significativamente al mejoramiento de la calidad académica durante el periodo 2018–2024. Gracias a su implementación, se ha fortalecido la trayectoria y estabilidad del cuerpo docente, con un aumento en la permanencia de profesores con más de cinco años de vinculación, mayor participación en actividades académicas, investigativas y de acompañamiento estudiantil. En este periodo, se registraron 6 ascensos a la categoría de Docente Asociado, lo cual refleja el reconocimiento de méritos y la consolidación de la carrera profesoral. Asimismo, los procesos de selección y vinculación han garantizado la inclusión y el mérito, permitiendo la incorporación de perfiles idóneos en ambas sedes.</t>
  </si>
  <si>
    <t>Aspecto 9.3.</t>
  </si>
  <si>
    <t>Apreciación de los profesores sobre la aplicación y pertinencia del estatuto profesoral y de las políticas que establecen distinciones, estímulos que promueven la trayectoria profesoral, junto con las acciones emprendidas como resultado de dichas apreciaciones.</t>
  </si>
  <si>
    <t>Apreciación</t>
  </si>
  <si>
    <t xml:space="preserve">Los resultados derivados de las encuestas aplicadas a los docentes del Programa de Ingeniería de Sistemas evidencian una valoración ampliamente positiva sobre la aplicación y pertinencia del Estatuto Profesoral. En ambas sedes, el 100% de los profesores manifestó conocer el Estatuto, y un 92% lo considera eficiente o muy eficiente en su aplicación. En cuanto a las políticas de estímulos a la trayectoria profesoral, el 96% afirmó estar informado sobre su existencia, y más del 90% calificó como “Excelente” o “Muy bueno” su impacto en la motivación y el mejoramiento continuo del cuerpo docente. </t>
  </si>
  <si>
    <t xml:space="preserve">Característica 10. </t>
  </si>
  <si>
    <t>Número, dedicación, nivel de formación y experiencia</t>
  </si>
  <si>
    <t>Aspecto 10.1</t>
  </si>
  <si>
    <t>Evidencia de la coherencia entre el número, dedicación, nivel de formación y experiencia de los profesores de tiempo completo, con el número de estudiantes, nivel de formación y modalidad del programa académico.</t>
  </si>
  <si>
    <t xml:space="preserve">Programa Académico
Vicerrectoría Académica </t>
  </si>
  <si>
    <t>Cuadro maestro del programa.
Asigancion academica 2020-2024</t>
  </si>
  <si>
    <t>El Programa de Ingeniería de Sistemas ha mantenido una relación estudiantes/docente de tiempo completo coherente con el volumen de matrícula y la capacidad de su planta profesoral, especialmente ante el notable crecimiento de la demanda académica en los últimos años. En la sede Riohacha, esta relación ha oscilado entre 16,2:1 y 32,05:1, alcanzando su punto más alto en el periodo 2024-2, producto de un incremento del 117,59% en la matrícula entre 2019-1 y 2024-2 (de 324 a 705 estudiantes). En la sede Maicao, aunque la relación ha sido históricamente más elevada —con picos de hasta 38:1— se evidencia una tendencia a la mejora en los últimos periodos, bajando a 31,42:1 en 2024-2, tras el fortalecimiento progresivo de la planta docente, a pesar de un aumento del 26,94% en su matrícula (de 297 a 377 estudiantes en el mismo periodo). En ambas sedes, los profesores de tiempo completo cuentan con formación de posgrado, experiencia profesional relevante y trayectoria institucional, lo que garantiza condiciones adecuadas para la formación presencial. A su vez, las encuestas aplicadas muestran que más del 90% de estudiantes y docentes valoran positivamente el perfil y compromiso del cuerpo profesoral. Todo ello evidencia que, a pesar del crecimiento sostenido en la matrícula, el programa ha logrado mantener condiciones estructurales que aseguran la coherencia entre su planta docente y las exigencias académicas, conforme a los lineamientos de calidad y acreditación.</t>
  </si>
  <si>
    <t>Aspecto 10.2</t>
  </si>
  <si>
    <t>Evidencia de la existencia de un núcleo básico de profesores de tiempo completo, preferiblemente con contratación a término indefinido, y su relación con la formación de la comunidad académica del programa y el cumplimiento con alta calidad de las funciones esenciales del programa.</t>
  </si>
  <si>
    <t>Cuadro maestro del programa.
Asigancion academica 2020-2024
Hoja de vida docentes</t>
  </si>
  <si>
    <t>Durante los últimos cinco años académicos, el Programa de Ingeniería de Sistemas de la Universidad de La Guajira ha contado con un núcleo consolidado y estable de profesores de tiempo completo en ambas sedes. En la sede Riohacha, el número ha oscilado entre 20 y 26 docentes por periodo, con un promedio de 23.1 docentes. En Maicao, el rango ha sido de 8 a 13 docentes, con un promedio de 9.7 docentes por periodo. Esto da un promedio total consolidado de 32.8 docentes de tiempo completo por periodo académico.
Este comportamiento evidencia una cobertura adecuada en términos de personal docente, que supera los estándares mínimos exigidos para programas con acreditación. En su punto más alto (2024-1), el programa contó con 37 docentes de tiempo completo en total.</t>
  </si>
  <si>
    <t>Aspecto 10.3</t>
  </si>
  <si>
    <r>
      <rPr>
        <sz val="10"/>
        <color theme="1"/>
        <rFont val="Century Gothic"/>
        <family val="2"/>
      </rPr>
      <t xml:space="preserve">Evidencia de la vinculación de una planta profesoral pertinente con el área disciplinar del programa con título de maestría y/o doctorado con experiencia o formación pedagógica, investigativa y profesional certificada y experiencia en investigación, que garantice el logro de los resultados de aprendizaje de los estudiantes y el cumplimiento de las funciones asignadas en condiciones de calidad, atendiendo a estándares internacionales, en coherencia con el nivel de formación y modalidad del programa. </t>
    </r>
    <r>
      <rPr>
        <b/>
        <sz val="10"/>
        <color theme="1"/>
        <rFont val="Century Gothic"/>
        <family val="2"/>
      </rPr>
      <t>(MAESTRÍAS)</t>
    </r>
  </si>
  <si>
    <t>Cvlac Docentes</t>
  </si>
  <si>
    <t>El Programa de Ingeniería de Sistemas, a corte del segundo periodo académico de 2024, cuenta con una planta profesoral conformada por 22 docentes del perfil disciplinar del programa, de los cuales 15 poseen título de maestría, lo que representa el 68.2% del total. Esta proporción es coherente con los estándares de calidad exigidos para programas de formación profesional universitaria. Todos los docentes con maestría desarrollan actividades sustantivas del programa, destacándose su participación en proyectos de investigación, extensión y procesos de innovación educativa. Entre ellos, el docente Andrés David Solano Barliza resalta con más de 10 publicaciones científicas en revistas indexadas, participación en 15 eventos académicos internacionales, y dirección de más de 10 trabajos de grado y tesis de maestría. Otros docentes como Farith Pérez y Marlyn Aaron han liderado proyectos en desarrollo tecnológico, robótica educativa y apropiación social del conocimiento, reflejando una producción académica y experiencia profesional certificada en sus CvLAC. Además, los docentes asignan entre 4 a 10 horas semanales a funciones de investigación y extensión, lo que evidencia una articulación efectiva entre formación avanzada y compromiso institucional.</t>
  </si>
  <si>
    <t>Aspecto 10.4</t>
  </si>
  <si>
    <r>
      <rPr>
        <sz val="10"/>
        <color theme="1"/>
        <rFont val="Century Gothic"/>
        <family val="2"/>
      </rPr>
      <t xml:space="preserve">Evidencia de la vinculación de una planta profesoral pertinente con el área disciplinar del programa con título de doctorado y con experiencia en la dirección de tesis doctorales, así como publicaciones en revistas indexadas y libros en los campos de conocimiento, reconocidos en el Ministerio de Ciencia, Tecnología e Innovación (Minciencias), con experiencia o formación pedagógica, que garantice el logro de los resultados de aprendizaje de los estudiantes y el cumplimiento de las funciones asignadas en condiciones de calidad, atendiendo a estándares internacionales, en coherencia con el nivel de formación y modalidad del programa. </t>
    </r>
    <r>
      <rPr>
        <b/>
        <sz val="10"/>
        <color theme="1"/>
        <rFont val="Century Gothic"/>
        <family val="2"/>
      </rPr>
      <t>(DOCTORADOS)</t>
    </r>
  </si>
  <si>
    <t xml:space="preserve">A corte de 2024, el Programa de Ingeniería de Sistemas de la Universidad de La Guajira cuenta con una planta docente del área disciplinar compuesta por 22 profesores de tiempo completo, de los cuales 6 cuentan con formación doctoral, lo que representa un 27% del total y 3 de los que aun estan en maestria y son del perfil profesional estan en estudios doctorales. Esta proporción se considera adecuada para programas de nivel profesional, según estándares nacionales e internacionales. La planta profesoral se caracteriza por su experiencia en investigación, extensión y docencia, con participación activa en grupos y semilleros, dirección de proyectos de aula e iniciativas de impacto regional. Además, la información contenida en sus hojas de vida y CvLAC evidencia productividad académica en publicaciones científicas, ponencias, liderazgo de actividades formativas y vinculación a redes de conocimiento, lo que permite garantizar condiciones de calidad para el cumplimiento de los resultados de aprendizaje y las funciones esenciales del programa. </t>
  </si>
  <si>
    <t xml:space="preserve">Característica 11. </t>
  </si>
  <si>
    <t xml:space="preserve">Desarrollo profesoral </t>
  </si>
  <si>
    <t>Aspecto 11.1</t>
  </si>
  <si>
    <t>Análisis de los resultados de la aplicación de políticas y estrategias institucionales en materia de desarrollo integral del profesorado, que incluya la capacitación y la actualización en los aspectos académicos, profesionales y pedagógicos relacionados con la naturaleza, nivel de formación y modalidad del programa.</t>
  </si>
  <si>
    <t>Programa académico
Vicerrectoría Académica</t>
  </si>
  <si>
    <t>Seminario permanente de la Calidad al interior de la Facultad de Ingeniería. 
Plan de capacitación y actualización docente.
Docentes en Comision de estudio</t>
  </si>
  <si>
    <t>Entre 2020 y 2024, el Programa de Ingeniería de Sistemas ha fortalecido la política institucional de desarrollo integral del profesorado mediante la participación activa de su planta docente en procesos de formación académica, actualización pedagógica y capacitación profesional. En este periodo, 18 docentes han participado en procesos formativos relevantes: 8 en comisiones de estudio para doctorado, 5 en maestrías y al menos 5 en cursos o diplomados especializados, principalmente en áreas como gestión de tecnología, inteligencia artificial, formulación de proyectos, y educación mediada por TIC. Además, todos los docentes con vinculación de tiempo completo —que representan el núcleo académico base del programa— participan permanentemente en los Seminarios de Calidad, como parte de sus 40 horas semanales, garantizando una actualización institucional constante. Estas acciones han sido promovidas tanto por la Universidad, a través de la Vicerrectoría Académica y convenios interinstitucionales, como por el programa mismo mediante la gestión de comisiones de estudios estratégicas para cubrir vacíos disciplinarios o fortalecer líneas prioritarias. La articulación entre estas estrategias permite garantizar la mejora continua del desempeño docente, la actualización curricular y el logro de los resultados de aprendizaje esperados en el marco del modelo de calidad educativa.</t>
  </si>
  <si>
    <t>Aspecto 11.2</t>
  </si>
  <si>
    <t>Evidencia de cómo el desarrollo profesoral atiende a la diversidad de los estudiantes, a las modalidades de la docencia y a los requerimientos de internacionalización y de inter y multiculturalidad de profesores y estudiantes.</t>
  </si>
  <si>
    <t>Documental - Análisis - Resultados</t>
  </si>
  <si>
    <t>Informe de internacionalizacion</t>
  </si>
  <si>
    <t>El Programa de Ingeniería de Sistemas ha implementado acciones concretas que evidencian un desarrollo profesoral alineado con la atención a la diversidad estudiantil, las modalidades de la docencia, y los requerimientos de internacionalización e interculturalidad. Entre 2020 y 2024, se realizaron 61 actividades internacionales (clases espejo, talleres, seminarios y webinars), con la participación de 13 docentes en procesos formativos internacionales, cursos de segunda lengua y encuentros académicos multilingües. Además, todos los docentes de tiempo completo participan en los Seminarios Permanentes de Calidad, donde se abordan temas de inclusión, TIC aplicadas, estrategias para entornos diversos y competencias globales.
La política institucional de bilingüismo y multiculturalidad se ha fortalecido mediante la oferta de cursos de inglés (niveles básico a intermedio), talleres de francés y wayuunaiki, clubes de conversación, ferias lingüísticas y culturales, así como la incorporación de herramientas tecnológicas como la plataforma ELL. Estas estrategias han sido acompañadas por experiencias multiculturales como el “World Voices”, ferias de saberes étnicos y eventos de inmersión cultural, en los que participan docentes y estudiantes del programa.
Adicionalmente, la vinculación de los docentes a redes como REDCOLSI, ACOFI, REDIS, ALININ y el Programa Delfín ha permitido la apropiación de buenas prácticas académicas en contextos diversos y el fortalecimiento del currículo desde una perspectiva global e inclusiva. En consecuencia, se evidencia que el desarrollo profesoral responde de manera efectiva a los retos de la educación superior contemporánea en términos de diversidad, internacionalización e innovación educativa.</t>
  </si>
  <si>
    <t>Aspecto 11.4</t>
  </si>
  <si>
    <t>Apreciación de directivos y profesores del programa sobre los resultados que han tenido las acciones orientadas al desarrollo integral de los profesores, en el mejoramiento de las competencias pedagógicas, científicas y sociales para el sostenimiento de las funciones misionales, junto con las acciones emprendidas como resultado de dichas apreciaciones.</t>
  </si>
  <si>
    <t>Las encuestas aplicadas a profesores y directivos del Programa de Ingeniería de Sistemas en las sedes de Riohacha y Maicao evidencian una percepción altamente favorable sobre las acciones institucionales orientadas al desarrollo integral del profesorado. El 100% de los encuestados reconoce que se han implementado actividades de formación y fortalecimiento docente en competencias pedagógicas, científicas y sociales. Las respuestas destacan el impacto positivo de estas acciones en la mejora del ejercicio profesional, la actualización disciplinar y el fortalecimiento del compromiso institucional con las funciones sustantivas. Los encuestados identifican como logros concretos la realización de cursos, seminarios, comisiones de estudio, participación en redes académicas y acceso a formación internacional. Asimismo, se valora positivamente la participación docente en los Seminarios Permanentes de Calidad como estrategia transversal de cualificación. No se identifican respuestas negativas o de desconocimiento, lo cual respalda una apropiación efectiva de las estrategias y una valoración institucional consolidada.</t>
  </si>
  <si>
    <t xml:space="preserve">Característica 12. </t>
  </si>
  <si>
    <t>Estimulos a la trayectoria profesoral</t>
  </si>
  <si>
    <t>Aspecto 12.1</t>
  </si>
  <si>
    <t>Evidencia de los efectos generados en el desempeño de las labores de docencia, investigación y extensión con el otorgamiento de estímulos a los profesores.</t>
  </si>
  <si>
    <t>Actas del CIARP 
Cuadro maestro de estimulos en Investigacion y extension</t>
  </si>
  <si>
    <t>Durante el periodo 2019–2024, el Programa de Ingeniería de Sistemas de la Universidad de La Guajira ha implementado políticas activas para el otorgamiento de estímulos a los docentes con el fin de fortalecer sus labores en docencia, investigación y extensión. En la sede Riohacha, el monto total financiado alcanzó los $127.352.649, siendo el año 2024 el de mayor inversión con $76.910.539, destinados principalmente a ponencias internacionales ($51.245.307) y publicaciones de artículos científicos ($22.188.332). Este impulso financiero ha favorecido la visibilidad académica del programa a nivel nacional e internacional. En la sede Maicao, si bien los valores son más reducidos, se registra en 2023 una inversión de $18.087.800 distribuidos entre ponencias nacionales ($15.400.000) y publicación de libros ($2.687.800), lo que representa un avance significativo en el fomento de la producción académica en esa sede.
Además de los estímulos financieros, se evidencia un fortalecimiento del desarrollo profesoral mediante procesos de ascenso en el escalafón docente. En total, 12 docentes han sido reconocidos en los últimos cinco años a través de actas del CIARP (8 de Riohacha y 4 de Maicao), logrando progresar a categorías superiores (asistente, asociado o titular). Esta evolución, sustentada en méritos académicos, formativos y productivos, ha contribuido al mejoramiento sostenido de las funciones misionales del programa. Los efectos de estos estímulos se reflejan en una mayor participación en eventos académicos, publicaciones científicas, generación de nuevo conocimiento y consolidación de proyectos de extensión, cumpliendo así con los estándares de calidad y pertinencia establecidos para el nivel de formación profesional universitario.</t>
  </si>
  <si>
    <t>Aspecto 12.4</t>
  </si>
  <si>
    <t>Apreciación de directivos y profesores del programa, sobre el efecto que ha tenido el régimen de estímulos al profesorado en el ejercicio cualificado de la docencia, la investigación, la innovación, la creación artística y cultural, la extensión o proyección social, en los aportes al desarrollo técnico</t>
  </si>
  <si>
    <t>El análisis de las encuestas aplicadas a docentes y directivos del Programa de Ingeniería de Sistemas en ambas sedes evidencia una percepción positiva respecto al efecto del régimen de estímulos en el fortalecimiento del ejercicio académico. En la sede Riohacha, el 90% de los docentes afirmó conocer el régimen de estímulos, y el 85% consideró que estos han tenido un impacto positivo en su desempeño en docencia, investigación, extensión e innovación. En Maicao, el 72% de los docentes manifestó conocer dicho régimen, y el 78% valoró positivamente su efecto, destacando que han contribuido a su motivación, participación en eventos académicos y mejora en su cualificación. Desde la visión de los directivos, se reconoce que los estímulos han facilitado procesos de formación avanzada, publicaciones científicas y actividades de proyección, consolidándose como un mecanismo efectivo para el desarrollo integral del cuerpo docente.</t>
  </si>
  <si>
    <t xml:space="preserve">Característica 13. </t>
  </si>
  <si>
    <t xml:space="preserve">Producción, pertinencia, utilización e impacto de material docente </t>
  </si>
  <si>
    <t>Aspecto 13.1</t>
  </si>
  <si>
    <t>Evidencia de la efectividad de los criterios de evaluación del material producido por los profesores en la calidad de los aprendizajes de los estudiantes, de acuerdo con el nivel de formación y modalidad del programa académico.</t>
  </si>
  <si>
    <t xml:space="preserve">Programa académico
Vicerrectaría Académico </t>
  </si>
  <si>
    <t>Estatuto Profesoral: Acuerdo 005 del 22 de marzo de 2006.
Acuerdo No 001 de 2020
Acuerdo 033 2024</t>
  </si>
  <si>
    <t>La Universidad de La Guajira, a través del Estatuto Profesoral (Acuerdo 005 de 2006), establece procedimientos específicos para la evaluación de la producción académica y didáctica elaborada por los docentes del programa. Dichos criterios comprenden la sustentación pública ante la comunidad académica y la revisión por pares expertos, asegurando así que el material sea pertinente, actualizado y contribuya a los resultados de aprendizaje esperados. Esta normativa garantiza un proceso riguroso y transparente que articula la creación de recursos con la calidad formativa del programa. Además, los docentes incluyen estos materiales en sus actividades regulares, y su impacto se ve reflejado en la coherencia con los objetivos del curso, el desarrollo de competencias y el apoyo a estrategias pedagógicas centradas en el estudiante.</t>
  </si>
  <si>
    <t>Aspecto 13.2</t>
  </si>
  <si>
    <t>Presentación de los resultados de evaluación de los materiales académicos producidos por los  profesores para el desarrollo de las diversas actividades académicas, que soportan los ambientes de aprendizaje, de acuerdo con el nivel de formación y modalidad.</t>
  </si>
  <si>
    <t>CUADRO INVESTIGACIÓN: PRODUCTOS DE  INVESTIGACIÓN RELACIONADOS CON EL PROGRAMA INGENIERIA DE SISTEMAS - RIOHACHA 2020-2024(2)</t>
  </si>
  <si>
    <t xml:space="preserve">Los docentes del Programa de Ingeniería de Sistemas elaboran y actualizan semestralmente sus materiales de apoyo, bibliografía y recursos didácticos utilizados en las actividades académicas, en coherencia con el nivel de formación profesional y la modalidad presencial del programa. Además de estos insumos didácticos regulares, el cuerpo docente ha generado materiales académicos evaluados por instancias institucionales como el Comité Interno de Asignación y Reconocimiento de Puntaje (CIARP), lo que respalda su pertinencia, calidad y alineación con los propósitos formativos del programa.
En el periodo comprendido entre 2020 y 2024, los profesores del programa produjeron un total de 127 productos académicos, distribuidos de la siguiente manera: 12 artículos en revistas internacionales indexadas, 11 en revistas internacionales no indexadas, 8 en revistas nacionales indexadas, 2 en revistas nacionales no indexadas, 40 libros con ISBN, 19 capítulos de libro, 1 publicación de divulgación científica y 34 productos tecnológicos o modelos de gestión empresarial. Esta producción evidencia el compromiso del cuerpo docente con la generación de conocimiento y la consolidación de ambientes de aprendizaje innovadores, aportando significativamente al proceso formativo mediante la integración de estos materiales en los contenidos programáticos y actividades académicas del programa.
</t>
  </si>
  <si>
    <t>Aspecto 13.3</t>
  </si>
  <si>
    <t>Apreciación de los estudiantes y directivos del programa sobre la pertinencia y calidad del material académico producido, de acuerdo con el nivel de formación y la modalidad del programa, junto con las acciones emprendidas como resultado de dichas apreciaciones.</t>
  </si>
  <si>
    <t>Los resultados de las encuestas aplicadas a estudiantes y directivos del Programa de Ingeniería de Sistemas en las sedes de Riohacha y Maicao evidencian una valoración positiva frente a la calidad y pertinencia del material académico producido por los docentes. El 95% de los estudiantes reconoce que el profesorado tiene la posibilidad de generar materiales como libros, artículos y software, donde, el 70% manifestó haber accedido o hecho uso de dichos recursos.
Respecto a la calidad, el 90% de los estudiantes la calificó entre “muy buena” y “excelente”, mientras que la pertinencia del material con relación a los contenidos y objetivos de formación fue valorada en un 90% como “muy pertinente” o “totalmente pertinente”. Por su parte, los directivos también destacan la calidad y utilidad de estos insumos, calificando en un 91% como adecuadas las estrategias metodológicas que los incorporan, y resaltando la coherencia con el nivel formativo del programa.</t>
  </si>
  <si>
    <t xml:space="preserve">Característica 14. </t>
  </si>
  <si>
    <t>Remuneración por méritos</t>
  </si>
  <si>
    <t>Aspecto 14.1</t>
  </si>
  <si>
    <t>Apreciación de los profesores del programa con respecto a la correspondencia entre la remuneración recibida y los méritos académicos, pedagógicos y profesionales, derivados de su actividad docente, investigativa, tecnológica, innovación, creación artística o cultural y proyección social, junto con las acciones emprendidas como resultado de dichas apreciaciones.</t>
  </si>
  <si>
    <t>Durante el proceso de autoevaluación, se aplicaron encuestas a los profesores del Programa de Ingeniería de Sistemas en las sedes de Riohacha y Maicao, evidenciando una percepción positiva sobre la existencia de estímulos institucionales orientados al reconocimiento de la labor docente, investigativa y de proyección social. La mayoría de los docentes encuestados valora que estos incentivos representan un mecanismo importante para fortalecer la motivación y promover la mejora continua del desempeño académico.
Se destaca que, si bien existen oportunidades de mejora en cuanto a la socialización y acceso a los estímulos, los profesores reconocen avances institucionales en el fortalecimiento de una cultura de reconocimiento basada en méritos académicos, pedagógicos y profesionales.</t>
  </si>
  <si>
    <t xml:space="preserve">Característica 15. </t>
  </si>
  <si>
    <t xml:space="preserve">Evaluación de profesores </t>
  </si>
  <si>
    <t>Aspecto 15.1</t>
  </si>
  <si>
    <t>Apreciación de los profesores, directivos y estudiantes sobre los criterios y mecanismos para la evaluación de los profesores; su transparencia, equidad y eficacia y; su coherencia con la naturaleza de la institución, el nivel de formación y la modalidad del programa, junto con las acciones emprendidas como resultado de dichas apreciaciones.</t>
  </si>
  <si>
    <t>En el Programa de Ingeniería de Sistemas de la Universidad de La Guajira, la evaluación del desempeño docente es reconocida institucionalmente como una herramienta estratégica para asegurar la calidad educativa. Según los resultados del proceso de autoevaluación, se evidencia una alta apropiación del sistema evaluativo por parte de profesores, estudiantes y egresados en ambas sedes (Riohacha y Maicao).
El 100% de los docentes y estudiantes en Riohacha y más del 95% de los egresados en Maicao afirman conocer los mecanismos de evaluación, lo cual demuestra una amplia difusión institucional. En cuanto a la calidad del sistema, el 95% de los docentes y el 96% de los estudiantes en Riohacha, así como el 89% de los egresados en Maicao, lo califican entre “Muy bueno” y “Excelente”.
Además, más del 90% de los actores considera que la evaluación es eficaz, permitiendo retroalimentación significativa y orientando el mejoramiento docente. En términos de equidad, el 90% en Riohacha y más del 80% en Maicao perciben el sistema como justo y objetivo, mientras que la coherencia con la modalidad y el nivel de formación supera el 85% de aprobación en ambas sedes.
La transparencia del proceso es otro punto destacado: el 100% de los estudiantes en Riohacha la valoran como "Muy" o "Totalmente transparente". Asimismo, los estudiantes reconocen sentirse partícipes activos del proceso, lo que fortalece una cultura institucional de corresponsabilidad.</t>
  </si>
  <si>
    <t>Aspecto 15.2</t>
  </si>
  <si>
    <t>Demostración del mejoramiento continuo del programa, a partir de las evaluaciones permanentes realizadas a los profesores, en coherencia con el nivel de formación y modalidad.</t>
  </si>
  <si>
    <t xml:space="preserve">Programa académico
Talento Humano
</t>
  </si>
  <si>
    <t xml:space="preserve">Evaluaciones de docentes de tiempo completo.
</t>
  </si>
  <si>
    <t>Durante los ultimos 5 años, el Programa de Ingeniería de Sistemas ha demostrado un compromiso sostenido con la mejora continua a través de las evaluaciones docentes semestrales realizadas por los estudiantes. Estas evaluaciones han servido como instrumento clave para identificar oportunidades de mejora en la práctica docente y han derivado en acciones de fortalecimiento académico orientadas al logro de los objetivos de formación.
os resultados obtenidos en cada uno de los años analizados muestran una tendencia de mejora sostenida en la calidad de la docencia. Este comportamiento demuestra que las acciones emprendidas en respuesta a las evaluaciones han sido efectivas, permitiendo afianzar una cultura de autoevaluación y retroalimentación constante. El promedio general del periodo es superior al 94%, lo que permite calificar este aspecto con una valoración Excelente.</t>
  </si>
  <si>
    <t>FACTOR 4. EGRESADOS</t>
  </si>
  <si>
    <t xml:space="preserve">Característica 16. </t>
  </si>
  <si>
    <t xml:space="preserve">Seguimiento de los egresados </t>
  </si>
  <si>
    <t>Aspecto 16.1</t>
  </si>
  <si>
    <t>Programa académico
Centro de Graduados</t>
  </si>
  <si>
    <t>Informe del seguimiento al graduado del programa de ingenieria de Sistemas  (2020 - 2024)</t>
  </si>
  <si>
    <t>El Programa de Ingeniería de Sistemas ha desarrollado estudios sistemáticos sobre sus egresados, evidenciando una inserción laboral del 91,5 %, con un 84 % de satisfacción frente a la formación recibida. El 73,3 % se desempeña en áreas afines a su perfil profesional, y un porcentaje significativo ha iniciado formación de posgrado o ha participado en actividades académicas e investigativas. Estos resultados reflejan la pertinencia del currículo, el cumplimiento del perfil de egreso y el impacto del programa en el entorno laboral y académico.</t>
  </si>
  <si>
    <t>Aspecto 16.2</t>
  </si>
  <si>
    <t>Apreciación de los egresados en relación con el perfil de formación, las competencias adquiridas y las posibilidades que les ha ofrecido su formación para su desarrollo profesional y laboral.</t>
  </si>
  <si>
    <t>Los resultados de las encuestas aplicadas a los egresados del Programa de Ingeniería de Sistemas de las sedes Riohacha y Maicao evidencian una percepción favorable respecto al perfil de formación y su impacto en el desarrollo profesional.
En Riohacha, el 100% de los encuestados calificó como “Muy bueno” o “Excelente” la calidad de la formación recibida, así como la pertinencia de las competencias adquiridas frente a los requerimientos del mercado laboral. Asimismo, el 100% reconoció que su formación contribuyó significativamente a su desarrollo profesional y evolución de su proyecto de vida.
En Maicao, los resultados fueron similares: el 100% calificó como “Muy buena” o “Excelente” la calidad de la formación, y la totalidad de los egresados consideró pertinente la formación recibida respecto al mercado laboral. Además, un alto porcentaje manifestó sentirse satisfecho con las oportunidades que les brindó el programa para su crecimiento profesional.
Estas apreciaciones dan cuenta de la coherencia entre el perfil de egreso definido por el programa y los logros alcanzados por los profesionales en su vida laboral. El alto nivel de satisfacción y reconocimiento por parte de los egresados refleja la efectividad de las estrategias de formación implementadas, así como la pertinencia del currículo frente a los retos del entorno productivo.</t>
  </si>
  <si>
    <t xml:space="preserve">Característica 17. </t>
  </si>
  <si>
    <t xml:space="preserve">Impacto de los egresados en el medio social y académico </t>
  </si>
  <si>
    <t>Aspecto 17.1</t>
  </si>
  <si>
    <t>Evidencia del impacto de los egresados en el medio social y académico, científico y cultural, como un mecanismo para establecer los aportes del programa a la solución de problemas de la sociedad y/o la creación e innovación de conocimiento.</t>
  </si>
  <si>
    <t>El Programa de Ingeniería de Sistemas de la Universidad de La Guajira ha demostrado un impacto relevante de sus egresados en los ámbitos social, académico y científico entre 2020 y 2024. Entre los principales hallazgos se destaca que un grupo significativo de graduados ha desarrollado estudios de posgrado, principalmente maestrías en áreas como gestión tecnológica e innovación, tanto en Uniguajira como en otras universidades nacionales e internacionales.
El 10,58% de los egresados de la sede Riohacha han participado en publicaciones científicas, y varios han producido artículos en revistas indexadas y capítulos de libros. Asimismo, un 8,47% de los egresados están vinculados a grupos de investigación, aportando a la generación de nuevo conocimiento en campos como desarrollo de software, innovación educativa y tecnologías emergentes.
El programa también ha generado impacto institucional, al contar con 6 egresados que han sido vinculados como docentes en la propia universidad, quienes lideran o participan en procesos de formación, extensión o investigación. Además, los graduados han sido reconocidos por su vinculación laboral en diversos sectores estratégicos, su participación en eventos académicos y su disposición para continuar su formación y contribuir a la comunidad académica.</t>
  </si>
  <si>
    <t>Aspecto 17.2</t>
  </si>
  <si>
    <t xml:space="preserve">Apreciación de empleadores sobre el desempeño destacado de los egresados y su aporte en la solución de los problemas académicos, ambientales, tecnológicos, sociales y culturales. </t>
  </si>
  <si>
    <t>Los resultados de las encuestas aplicadas al sector externo evidencian una alta valoración del desempeño de los egresados del Programa de Ingeniería de Sistemas de la Universidad de La Guajira. El 91,7% de los empleadores manifiestan conocer el perfil profesional y ocupacional de los egresados, y el 92,7% considera que dicho perfil se ajusta adecuadamente a las demandas del contexto laboral.
En cuanto a la evaluación de la eficiencia en la actualización del perfil, el 53,7% califica esta como excelente y el 34,1% como muy buena, reflejando la percepción positiva sobre la formación recibida por los egresados y su sintonía con las transformaciones del entorno profesional. Respecto a la pertinencia del perfil, el 63,4% lo considera totalmente pertinente y el 29,2% muy pertinente, lo que ratifica su alineación con las necesidades del sector productivo.
Las observaciones cualitativas por parte de los empleadores destacan fortalezas en la capacidad técnica, la disposición al trabajo en equipo y el compromiso profesional de los egresados. Entre las sugerencias de mejora se mencionan el fortalecimiento en habilidades blandas, la profundización en inglés técnico y la actualización en tecnologías emergentes.</t>
  </si>
  <si>
    <t>FACTOR 5. ASPECTOS ACADÉMICOS Y RESULTADOS DE APRENDIZAJE</t>
  </si>
  <si>
    <t xml:space="preserve">Característica 18. </t>
  </si>
  <si>
    <t xml:space="preserve">Integralidad de los aspectos curriculares </t>
  </si>
  <si>
    <t>Aspecto 18.1</t>
  </si>
  <si>
    <t>Resultados de la aplicación de ejercicios continuos de evaluación de la integralidad del currículo que conduzcan a la realización de ajustes y mejoras que impactan a la formación en valores, actitudes, aptitudes, conocimientos, métodos, capacidades y habilidades, de acuerdo con el estado del arte y con el ejercicio de la disciplina, profesión, ocupación u oficio, y que busca la formación integral del estudiante en coherencia con la misión institucional y los objetivos propios del programa académico.</t>
  </si>
  <si>
    <t>Documental</t>
  </si>
  <si>
    <t>Programa académico
Comité Curricular</t>
  </si>
  <si>
    <t>PEP</t>
  </si>
  <si>
    <t>El Programa de Ingeniería de Sistemas ha venido realizando ejercicios sistemáticos de evaluación de la integralidad del currículo a través del Comité Curricular, con la participación activa de docentes, estudiantes y egresados. Estos ejercicios han permitido identificar necesidades de ajuste en la estructura del plan de estudios, en función de los cambios tecnológicos, los requerimientos del entorno profesional y los lineamientos institucionales de formación integral.
Como resultado de estos procesos, el programa ha aprobado diversas modificaciones internas en las asignaturas, incluyendo reubicación de contenidos, actualización de enfoques pedagógicos y revisión de prerrequisitos. Actualmente, el programa se encuentra trabajando en una propuesta de actualización estructural del plan de estudios, que contempla la reducción del número de semestres y del total de créditos académicos, con el fin de optimizar la progresión curricular, fortalecer la formación por competencias y mejorar los indicadores de eficiencia académica.
Este proceso se apoya en análisis comparativos con programas afines a nivel nacional e internacional, así como en retroalimentación derivada del seguimiento a egresados y del ejercicio docente.</t>
  </si>
  <si>
    <t>Aspecto 18.2</t>
  </si>
  <si>
    <t xml:space="preserve">Evaluación de las estrategias y acciones del programa para el mejoramiento de las competencias definidas por el programa.  </t>
  </si>
  <si>
    <t>Competencias, resultados de aprendizajes y mecanismos de evaluacion del programa de Ingenieria de sistemas</t>
  </si>
  <si>
    <t>El Programa de Ingeniería de Sistemas ha definido un conjunto de competencias distribuidas por áreas de formación, acompañadas de resultados de aprendizaje que guían la formación profesional de los estudiantes. Estas competencias se agrupan en cinco dimensiones: formación básica general científica, formación específica profesional, formación investigativa, formación tecnológica y formación socio-humanística. Para su evaluación, el programa ha estructurado un sistema de medición por ciclos, el cual permite verificar de forma continua el desarrollo de las competencias a lo largo del proceso académico.
El modelo implementado articula contenidos, estrategias pedagógicas, resultados de aprendizaje y tipos de evaluación, y se desarrolla en cuatro momentos clave: diagnóstico inicial, socialización e instrumentación (semestre V), profundización y apropiación (semestre VIII), y aplicación y producción (semestre X). Cada etapa utiliza instrumentos tipo test basados en la taxonomía SOLO, evaluando desde niveles uniestructurales hasta abstractos ampliados. Esta estructura permite realizar ajustes pedagógicos y curriculares de manera oportuna.
Adicionalmente, el Comité Curricular es responsable de analizar los resultados de estas evaluaciones y definir planes de mejora, lo que ha derivado en ajustes concretos en asignaturas, incorporación de nuevas estrategias didácticas y fortalecimiento del perfil por competencias.</t>
  </si>
  <si>
    <t xml:space="preserve">Característica 19. </t>
  </si>
  <si>
    <t xml:space="preserve">Flexibilidad de los aspectos curriculares </t>
  </si>
  <si>
    <t>Aspecto 19.1</t>
  </si>
  <si>
    <t>Evidencia de procesos de flexibilización como, doble titulación; articulación pregrado-posgrado; reconocimiento de créditos, homologación y oferta de cursos electivos en distintas modalidades y lugares de desarrollo entre otros, que permiten al estudiante interactuar con otros programas a nivel institucional, nacional e internacional.</t>
  </si>
  <si>
    <t>Documental - Análisis - Evidencias</t>
  </si>
  <si>
    <t>Programa académico
ORI
Dirección de Postgrado</t>
  </si>
  <si>
    <t>Informe de intercionalizacion de ingenieria de sistemas</t>
  </si>
  <si>
    <t>El programa de Ingeniería de Sistemas ha promovido activamente la flexibilización académica mediante diversas estrategias que fortalecen la movilidad, el reconocimiento de créditos y el desarrollo de convenios interinstitucionales. En articulación con la Oficina de Relaciones Internacionales (ORI), se ha trabajado en la consolidación de un convenio de doble titulación, con base en la guía institucional RI-G-0. En ese marco, se han establecido acercamientos con instituciones como la Universidad Veracruzana de México, la Universidad Mayor Real y Pontificia de San Francisco Xavier de Chuquisaca (Bolivia) y la Universidad Autónoma del Estado de México. Dichas acciones están incluidas en el Plan Estratégico de Internacionalización con proyección de formalización para el año 2025
Asimismo, el programa cuenta con más de 60 convenios nacionales e internacionales que permiten el reconocimiento y homologación de créditos, participación en programas de movilidad académica, intercambios estudiantiles, y pasantías virtuales y presenciales. Entre los aliados internacionales se destacan la Universidad de Castilla-La Mancha (España), Universidad Hipócrates (México), Universidad Nacional del Sur (Argentina), y la Universidad Técnica Federico Santa María (Chile), entre otras
De igual forma, se han ofertado cursos electivos y actividades académicas en distintas modalidades y lugares de desarrollo. Por ejemplo, se han implementado clases espejo, webinars, talleres, cursos internacionales y jornadas de internacionalización que abordan temas como ciberseguridad, inteligencia artificial, análisis de datos y gestión de proyectos, fortaleciendo así la interacción del estudiante con contextos académicos globales
En términos de articulación pregrado-posgrado, el programa ha suscrito convenios con instituciones como FUNIBER para becas de maestría, y ha incentivado la participación en programas como PILA y el Grupo RINSA, permitiendo a los estudiantes y egresados continuar su trayectoria académica con reconocimiento internacional
Finalmente, el programa reconoce los retos existentes en la consolidación de convenios de doble titulación y otras modalidades de flexibilización, relacionados con diferencias curriculares y limitaciones financieras; sin embargo, mantiene el compromiso institucional de dinamizar y consolidar estas estrategias como parte de su mejora continua.</t>
  </si>
  <si>
    <t>Aspecto 19.2</t>
  </si>
  <si>
    <t>Apreciación de estudiantes, profesores y egresados sobre las rutas de formación alternativas y adoptadas por los estudiantes a partir de sus necesidades e intereses, derivadas de las estrategias de flexibilidad curricular definidas por la institución, junto con las acciones emprendidas como resultado de dichas apreciaciones.</t>
  </si>
  <si>
    <t>El programa de Ingeniería de Sistemas ha implementado estrategias de flexibilización curricular que permiten a los estudiantes trazar rutas de formación personalizadas, respondiendo a sus intereses y necesidades. Esta orientación ha sido reconocida y valorada de forma positiva por los distintos estamentos encuestados.
En las encuestas a estudiantes, el 89.74 % en Maicao y el 97.60 % en Riohacha afirmaron conocer las estrategias de flexibilización (homologaciones, equivalencias, intercambios, entre otras), aunque solo el 7.18 % en Maicao y el 37.20 % en Riohacha indicaron haber realizado efectivamente alguno de estos procesos
. Esto evidencia un conocimiento generalizado, pero también una brecha en la apropiación práctica de dichas alternativas, lo cual representa una oportunidad de mejora.
En cuanto a la percepción docente, más del 98 % de los profesores en ambas sedes reportaron conocer las estrategias de flexibilización y más del 50 % participaron en su construcción. Además, el 100 % de los docentes de Riohacha y Maicao consideran que la Universidad implementa mecanismos adecuados para estos fines
.
Desde la perspectiva de los egresados, el 87 % en Maicao y un porcentaje similar en Riohacha manifestaron haber conocido e incluso utilizado rutas de formación alternativas durante su proceso formativo, destacando la pertinencia de dichas acciones en su trayectoria profesional y la adaptación al mercado laboral
.</t>
  </si>
  <si>
    <t xml:space="preserve">Característica 20. </t>
  </si>
  <si>
    <t xml:space="preserve">Interdisciplinariedad </t>
  </si>
  <si>
    <t>Aspecto 20.1</t>
  </si>
  <si>
    <t>Evidencia de la implementación de las estrategias que promueven y estimulan la interdisciplinariedad curricular
del programa, y el resultado de su aplicación en las diferentes rutas formativas seguidas por los estudiantes.</t>
  </si>
  <si>
    <t>Pep 
Documento Base de Ingenieria de sistemas</t>
  </si>
  <si>
    <t>El programa de Ingeniería de Sistemas de la Universidad de La Guajira ha venido implementando estrategias orientadas a la interdisciplinariedad curricular, como componente estructural del plan de estudios. Estas estrategias se concretan mediante la integración de asignaturas compartidas entre diferentes áreas del conocimiento, el desarrollo de proyectos interfacultades y la incorporación de enfoques multidisciplinarios en actividades académicas, investigativas y de extensión.
De acuerdo con el Documento Maestro del Programa y el Proyecto Educativo del Programa (PEP), el currículo incluye asignaturas del área de ciencias básicas, aplicadas, complementarias e investigativas, las cuales fomentan el diálogo entre saberes matemáticos, físicos, computacionales, administrativos y éticos. Se promueve, por ejemplo, la interacción entre asignaturas como lógica, cálculo, física, estadística, fundamentos de programación, administración de proyectos y ética profesional, generando rutas formativas donde el estudiante puede vincularse a problemas reales desde múltiples perspectivas.
Además, en el marco del rediseño curricular, se ha avanzado en la incorporación de asignaturas electivas y módulos transversales que permiten a los estudiantes orientar su formación hacia áreas como inteligencia artificial, ciberseguridad, análisis de datos y desarrollo de software, en interacción con otros programas de la Facultad de Ingeniería. Así mismo, se han desarrollado proyectos de aula interdisciplinarios, articulados con semilleros de investigación y prácticas formativas, donde convergen conocimientos de distintas áreas para la solución de problemas contextualizados
Los resultados de estas estrategias se evidencian en las rutas formativas diferenciadas adoptadas por los estudiantes, quienes han optado por vincularse a líneas de investigación, electivas en temáticas afines a otras disciplinas, y participación en redes interinstitucionales.</t>
  </si>
  <si>
    <t>Aspecto 20.2</t>
  </si>
  <si>
    <t>Apreciación de los estudiantes y profesores frente a los mecanismos y criterios dispuestos por la institución para la interdisciplinariedad curricular del programa, los resultados de su análisis y la evidencia de los logros en el mejoramiento en la calidad del programa.</t>
  </si>
  <si>
    <t>El programa de Ingeniería de Sistemas ha promovido estrategias de interdisciplinariedad curricular a través de actividades compartidas entre programas, prácticas integradoras, proyectos transversales y convenios colaborativos. Estas acciones buscan fomentar la articulación entre saberes y competencias que respondan a los desafíos actuales del entorno profesional.
En las encuestas a estudiantes, el 82.56% en Maicao y el 85.20% en Riohacha manifestaron estar informados sobre la existencia de estrategias interdisciplinarias. Sin embargo, solo el 11.79% en Maicao y el 32% en Riohacha han participado activamente en ellas
A pesar de esto, quienes participaron consideran en más del 90% que los mecanismos institucionales son claros y accesibles, y un 91.3% en ambas sedes coincidió en que estas acciones contribuyen significativamente a su formación académica.
Desde la perspectiva docente, el 98.04% en Maicao y el 98.57% en Riohacha reconocen que el programa implementa mecanismos de interdisciplinariedad. Además, el 72.55% de los docentes en Maicao y el 80% en Riohacha han participado en este tipo de actividades. Más del 95% consideran que estos mecanismos son claros y que fomentan el desarrollo de competencias adaptadas al entorno profesional</t>
  </si>
  <si>
    <t xml:space="preserve">Característica 21. </t>
  </si>
  <si>
    <t xml:space="preserve">Estrategias pedagógicas </t>
  </si>
  <si>
    <t>Aspecto 21.1</t>
  </si>
  <si>
    <t>Apreciación de profesores y estudiantes sobre la coherencia de las estrategias pedagógicas utilizadas que
facilitan el logro de los resultados de aprendizaje esperados, incluyendo los escenarios de práctica para los
programas que lo requieren, valorando la calidad, la pertinencia, el acompañamiento y el cumplimiento de la
normatividad específica para su desarrollo, junto con las acciones emprendidas como resultado de dichas
apreciaciones.</t>
  </si>
  <si>
    <t>El programa de Ingeniería de Sistemas ha mantenido una estructura pedagógica coherente con los resultados de aprendizaje esperados, incorporando estrategias activas de enseñanza y escenarios adecuados para la formación práctica, de acuerdo con la naturaleza del programa.
Según los resultados de la autoevaluación, el 100% de los docentes y más del 95% de los estudiantes en ambas sedes consideran que las estrategias utilizadas por el programa son efectivas para facilitar el aprendizaje
. Estas estrategias incluyen metodologías activas, uso de plataformas digitales, trabajo en equipo, resolución de problemas, simulaciones y proyectos aplicados.
En cuanto a los escenarios de práctica, como laboratorios y prácticas curriculares, el 80.52% de los estudiantes en Maicao y el 90.80% en Riohacha los consideran “totalmente” o “muy pertinentes”. Asimismo, más del 95% reporta haber recibido un acompañamiento adecuado en su desarrollo. Estos espacios incluyen laboratorios de redes, simuladores, aulas especializadas, y herramientas virtuales de práctica en entornos tecnológicos.
Los docentes también reconocen que estas estrategias están alineadas con las competencias del programa y los objetivos de aprendizaje definidos en el currículo. El 93% de los profesores considera que los mecanismos de evaluación del aprendizaje son adecuados, pertinentes y coherentes con la modalidad del programa.
Lo anterior evidencia que, el programa ha fortalecido la formación docente en estrategias didácticas y digitales, ha actualizado los contenidos prácticos de asignaturas clave como Redes, Bases de Datos, Inteligencia Artificial y Programación, y ha mejorado la infraestructura tecnológica con nuevas licencias, plataformas y dotación de laboratorios.</t>
  </si>
  <si>
    <t>Aspecto 21.2</t>
  </si>
  <si>
    <t>Evidencia de la evaluación y el mejoramiento de las estrategias y prácticas pedagógicas, a partir de los aportes
de la investigación pedagógica y de los procesos de actualización de los profesores.</t>
  </si>
  <si>
    <t>Actas comité curricular
PEP
Evaluaciones RA</t>
  </si>
  <si>
    <t xml:space="preserve">El programa de Ingeniería de Sistemas ha desarrollado un proceso sistemático de evaluación y mejoramiento de sus prácticas pedagógicas, fundamentado en los resultados de la autoevaluación, en la investigación educativa y en el fortalecimiento de la formación docente como ejes centrales de su política de calidad académica.
Desde el proceso de acreditación anterior, el programa ha implementado acciones concretas derivadas de la evaluación institucional y de las recomendaciones de los pares académicos, como la necesidad de mejorar las estrategias de enseñanza-aprendizaje y fortalecer el uso de metodologías activas e innovadoras en el aula
En respuesta, se ha promovido una política de formación continua para el cuerpo profesoral, alineada con las áreas estratégicas del programa. A través del Plan de Capacitación Docente, se han desarrollado talleres, cursos, diplomados y seminarios en temáticas como: innovación pedagógica, herramientas digitales para la enseñanza, didáctica de la ingeniería, y actualización disciplinar en inteligencia artificial, ciencia de datos y ciberseguridad
En los ultimos años, más de 60 docentes han participado en programas de actualización, incluyendo cursos de inglés, talleres en lengua wayuunaiki, y capacitaciones orientadas al fortalecimiento de competencias investigativas y pedagógicas. Además, se han promovido actividades de reflexión docente y autoevaluación institucional, orientadas a mejorar la calidad de los procesos formativos
A nivel curricular, el programa ha incorporado en su rediseño académico nuevas estrategias didácticas basadas en el trabajo por competencias, evaluación auténtica, y uso de laboratorios como escenarios de aprendizaje activo. </t>
  </si>
  <si>
    <t xml:space="preserve">Característica 22. </t>
  </si>
  <si>
    <t xml:space="preserve">Sistema de evaluación de estudiantes </t>
  </si>
  <si>
    <t>Aspecto 22.1</t>
  </si>
  <si>
    <t>Apreciación de profesores y estudiantes sobre los sistemas de evaluación de los resultados de aprendizaje que
desarrolla o implementa el programa, junto con las acciones emprendidas como resultado de dichas apreciaciones.</t>
  </si>
  <si>
    <t>El programa de Ingeniería de Sistemas ha implementado un sistema de evaluación de resultados de aprendizaje sustentado en criterios claros, normativos y coherentes con el modelo educativo institucional. Este sistema es valorado positivamente por la comunidad académica, según lo evidencian los resultados de la autoevaluación.
En la sede Riohacha, el 86% de los estudiantes manifiestan conocer que el programa cuenta con mecanismos para evaluar los resultados de aprendizaje, y el 73.6% reconoce los resultados definidos. De estos, el 97.28% considera que las evaluaciones aplicadas son adecuadas y el 56.52% califica como “excelente” la pertinencia de los mecanismos utilizados.
En Maicao, el 90.26% de los estudiantes reconocen la existencia del sistema de evaluación, aunque solo el 68.21% declara conocer los resultados definidos. Aun así, el 96.24% considera adecuados los mecanismos, y un 46.62% los califica como “excelentes”, con un 39.10% como “muy buenos”.
Desde la percepción docente, los resultados son consistentes: el 98.04% en Maicao y el 100% en Riohacha manifiestan conocer los mecanismos institucionales, y más del 98% en ambas sedes los consideran pertinentes, transparentes y coherentes con el nivel de formación del programa. El 56.52% en Riohacha y el 46.51% en Maicao califican como “excelente” el impacto de estos mecanismos en la mejora continua del programa</t>
  </si>
  <si>
    <t>Aspecto 22.2</t>
  </si>
  <si>
    <t>Evidencia de los resultados obtenidos a partir de la implementación de los sistemas de evaluación de estudiantes
basado en políticas y normas claras, universales y transparentes.</t>
  </si>
  <si>
    <t>Proyecto Educativo Institucional (PPEI), Proyecto Educativo del Programa (PEP), Reglamento estudiantil, Registro de notas (Informes) (SMA)
Aplicativo para la valoración y la regulación del Desempeño Académico Estudiantil</t>
  </si>
  <si>
    <t>En el programa de Ingeniería de Sistemas, la evaluación de los estudiantes se enmarca en el Reglamento Estudiantil de la Universidad de La Guajira, alineado con el Proyecto Educativo Institucional (PEI), el Proyecto Educativo del Programa (PEP) y la guía propedéutica como instrumento articulador. Esta normativa establece políticas claras, universales y transparentes que orientan la evaluación como un proceso continuo, formativo e integral, centrado en la verificación de conocimientos, competencias, habilidades, creatividad e investigación en coherencia con los resultados de aprendizaje esperados.
Según el capítulo XII del Reglamento Estudiantil, la evaluación académica se compone de tres cortes acumulativos (30%, 35% y 35%) que permiten monitorear el progreso del estudiante durante el semestre. Estas evaluaciones incluyen exámenes parciales, finales, supletorios y de validación, y se aplican de forma escrita, oral o práctica, dependiendo de la naturaleza de la asignatura. Este sistema es compatible con el enfoque constructivista y etnoeducativo adoptado por la institución, el cual promueve el aprendizaje activo, significativo y contextualizado, atendiendo a las experiencias previas del estudiante y a su desarrollo integral, como lo establece el Decreto 1330 de 2019.
En el marco de este sistema, la guía propedéutica permite garantizar la coherencia entre las estrategias didácticas y los resultados de aprendizaje definidos para cada asignatura, siendo además un instrumento que promueve el desarrollo de competencias y el aprendizaje autónomo.
A partir del análisis de los resultados obtenidos entre los periodos 2020-1 y 2024-2, se evidencia una tendencia estable y positiva en el rendimiento académico de los estudiantes del programa. En promedio, los estudiantes de Riohacha han mantenido un desempeño entre 3.5 y 3.7, mientras que los de Maicao oscilan entre 3.6 y 3.8. El promedio acumulado general del programa en ambos centros asciende a 3.63, lo cual refleja la efectividad del sistema de evaluación y su impacto en el cumplimiento de los resultados de aprendizaje definidos.</t>
  </si>
  <si>
    <t>Aspecto 22.3</t>
  </si>
  <si>
    <t>Evidencia de sistemas de evaluación que integran la innovación para generar transformaciones profundas en el
aprendizaje, y que acogen dinámicas en referencia a cambios en el conocimiento.</t>
  </si>
  <si>
    <t>Decreto 1330 del 25 de julio de 2019, Acuerdo 013 del 2021, Prueba diagnóstica inicial del programa de Ingeniería de sistemas</t>
  </si>
  <si>
    <t>El programa de Ingeniería de Sistemas ha adoptado un sistema de evaluación innovador, orientado a generar transformaciones profundas en el aprendizaje y a responder a los cambios dinámicos del conocimiento. Este sistema se basa en la evaluación por competencias articulada a resultados de aprendizaje, incorporando instrumentos que promueven la comprensión, aplicación y análisis desde un enfoque pedagógico progresivo. La evaluación se estructura en cuatro momentos clave a lo largo del plan de estudios: diagnóstico inicial al ingreso, socialización e instrumentación (al 40 % del plan de estudios), profundización y apropiación (al 70–80 %) y aplicación y producción (al 90–100 %). Cada etapa emplea instrumentos tipo test diseñados bajo la Taxonomía SOLO, que permite clasificar el desarrollo cognitivo en niveles uniestructural, multiestructural, relacional y abstracto ampliado. Este enfoque permite no solo medir el conocimiento adquirido, sino también valorar las competencias integrales del estudiante, alineadas con su perfil de egreso. Además, el Comité Curricular del programa lidera la validación de los instrumentos, el análisis de resultados y la formulación de planes de mejora, promoviendo ajustes curriculares basados en evidencia. Este sistema se complementa con el uso de tecnologías educativas, rúbricas de evaluación específicas y estrategias didácticas centradas en el aprendizaje activo y significativo, consolidando así una cultura de evaluación formativa, continua e innovadora.</t>
  </si>
  <si>
    <t xml:space="preserve">Característica 23. </t>
  </si>
  <si>
    <t>Resultados de aprendizaje</t>
  </si>
  <si>
    <t>Aspecto 23.1</t>
  </si>
  <si>
    <t>Evidencia de la aplicación de una política institucional que establezca parámetros para la formulación,
evaluación y mejora continua de los resultados de aprendizaje establecidos en el programa, en alineación con el
perfil de formación yacorde con el nivel y la modalidad de formación.</t>
  </si>
  <si>
    <t xml:space="preserve">Acuerdo 013 de 2021 - Politica RA </t>
  </si>
  <si>
    <t xml:space="preserve">El programa de Ingeniería de Sistemas de la Universidad de La Guajira aplica de manera rigurosa la política institucional establecida para la formulación, evaluación y mejora continua de los resultados de aprendizaje, en coherencia con el perfil de formación y el nivel académico del programa. Esta política está regulada por el Acuerdo 013 de 2021 del Consejo Académico, el cual define los lineamientos estratégicos que orientan la identificación, configuración, formulación y evaluación de los resultados de aprendizaje (RA) en todos los programas académicos, con base en el Decreto 1330 de 2019 y los referentes del modelo de aseguramiento de la calidad del MEN y del CESU. Este acuerdo establece que los RA deben estar alineados con el perfil de egreso, responder a las tendencias del conocimiento y las exigencias del entorno profesional, y ser coherentes con el plan general de estudios. Asimismo, se adoptan las taxonomías SOLO y Bloom como referentes metodológicos para su formulación y evaluación, y se articulan con las guías propedéuticas del programa. El comité curricular, la dirección del programa, la Vicerrectoría Académica, la Oficina de Aseguramiento de la Calidad y el Grupo Institucional para la Evaluación del Aprendizaje (GIEA) son responsables del seguimiento, evaluación y mejora continua de los RA, mediante acciones como la revisión de coherencia curricular, la capacitación docente, la socialización de los RA con estudiantes y la recolección de evidencias para los ajustes formativos. En este marco, el programa de Ingeniería de Sistemas ha implementado una ruta progresiva de evaluación de los RA a través de ciclos que incluyen diagnóstico, apropiación, profundización y producción, lo que ha permitido una alineación efectiva entre los resultados evaluados y el perfil de formación profesional esperado. Este modelo garantiza que los RA sean verificables, pertinentes, evaluables y adaptados a la modalidad de formación, asegurando una trazabilidad efectiva del aprendizaje a lo largo del proceso educativo.
</t>
  </si>
  <si>
    <t>Aspecto 23.2</t>
  </si>
  <si>
    <t>Evidencia del proceso de mejoramiento continuo relacionado con la evaluación entre los resultados de
aprendizaje esperados y los alcanzados por los estudiantes, el sistema de evaluación de estudiantes y las acciones de ajuste de los aspectos curriculares y las metodologías de enseñanza - aprendizaje derivadas de dicha evaluación.</t>
  </si>
  <si>
    <t>Documental - Resutlados - Evidencias</t>
  </si>
  <si>
    <t>Analisis de pruebas RA
Plan de mejoramiento RA</t>
  </si>
  <si>
    <t xml:space="preserve">El programa de Ingeniería de Sistemas evidencia un proceso de mejoramiento continuo sustentado en la evaluación sistemática de los resultados de aprendizaje esperados frente a los alcanzados por los estudiantes. Este proceso se estructura sobre un modelo progresivo de evaluación, articulado a las competencias del perfil de egreso y acompañado de mecanismos institucionales que permiten el seguimiento, análisis y ajuste curricular. La información recogida en evaluaciones tipo Saber Pro, los simulacros internos, los cortes académicos y los informes de desempeño estudiantil son analizados por el Comité Curricular para identificar brechas entre los logros alcanzados y los objetivos esperados. Como resultado de este ejercicio evaluativo, el programa ha implementado acciones concretas como el rediseño de contenidos, la integración de estrategias didácticas orientadas por resultados, y la creación de asignaturas específicas como Saber Pro I y II, diseñadas para fortalecer competencias genéricas en lectura crítica, razonamiento cuantitativo, comunicación escrita, inglés y ciudadanía. Esta estrategia, desarrollada desde 2023-II e institucionalizada en el plan de mejora, ha permitido alinear los instrumentos de evaluación en todas las asignaturas del programa con los estándares externos, mejorando la calidad del proceso de enseñanza-aprendizaje. La participación activa del área de permanencia, el centro de lenguas, el comité curricular y los docentes de competencias comunicativas y matemáticas, refuerza el compromiso del programa con la formación integral del estudiante. </t>
  </si>
  <si>
    <t xml:space="preserve">Característica 24. </t>
  </si>
  <si>
    <t xml:space="preserve">Competencias </t>
  </si>
  <si>
    <t>Aspecto 24.1</t>
  </si>
  <si>
    <t>Evidencia del resultado de la aplicación de estrategias para el desarrollo de las competencias previstas acordes
con el perfil de formación del programa.</t>
  </si>
  <si>
    <t>PEP de ingenieria de sistemas
Estrategias Saber Pro
Instrumento de evaluacion RA</t>
  </si>
  <si>
    <t>El programa de Ingeniería de Sistemas ha implementado estrategias orientadas al desarrollo de competencias específicas y transversales, alineadas con el perfil de formación profesional definido en el Proyecto Educativo del Programa (PEP). Estas competencias incluyen la capacidad de resolución de problemas, pensamiento lógico y computacional, habilidades en programación, gestión de proyectos, comunicación efectiva y responsabilidad ética. Para garantizar su desarrollo progresivo, se han diseñado actividades curriculares que integran prácticas de laboratorio, proyectos integradores, uso de simuladores, retos reales, asignaturas por competencias y formación en ambientes virtuales y colaborativos. Adicionalmente, se ha fortalecido la transversalidad de componentes como ciudadanía, ética, investigación y emprendimiento en los diferentes núcleos temáticos del plan de estudios. Como evidencia de los resultados alcanzados, se destacan los informes de desempeño académico, los resultados en pruebas Saber Pro, las participaciones en semilleros, hackathones, concursos, proyectos de aula y experiencias de movilidad académica. El impacto positivo de estas estrategias se refleja en el rendimiento académico sostenido de los estudiantes (con promedio acumulado general de 3.63 entre 2020 y 2024), así como en el desarrollo de habilidades prácticas y actitudes coherentes con el perfil del egresado. Estas acciones han sido complementadas con el acompañamiento docente, la orientación académica y el fortalecimiento de las asignaturas disciplinares mediante la actualización de contenidos y metodologías activas centradas en el estudiante.</t>
  </si>
  <si>
    <t xml:space="preserve">Característica 25. </t>
  </si>
  <si>
    <t xml:space="preserve">Evaluación y autorregulación del programa académico </t>
  </si>
  <si>
    <t>Aspecto 25.1</t>
  </si>
  <si>
    <t>Evidencia del cumplimiento de planes de mejoramiento y de innovación producto del proceso de autoevaluación del programa.</t>
  </si>
  <si>
    <t xml:space="preserve">Documental </t>
  </si>
  <si>
    <t>Informe de Cumplimeinto a planes de mejoramiento entregado a CAN
Actas comite curricular</t>
  </si>
  <si>
    <t>El programa de Ingeniería de Sistemas ha demostrado un compromiso constante con el cumplimiento de los planes de mejoramiento derivados del proceso de autoevaluación con fines de acreditación nacional e internacional (CNA-ARCUSUR). En el informe de seguimiento fechado el 22 de abril de 2025, se reporta que de las 19 oportunidades de mejora identificadas, 8 fueron completamente superadas y 11 continúan en ejecución con compromisos activos, reflejando un avance estructurado y una gestión efectiva del mejoramiento continuo.
Entre las acciones ya cumplidas se destacan: el fortalecimiento de la productividad en extensión, la generación de guías e informes de laboratorio alineados con la guía propedéutica, la implementación de un módulo institucional para hacer seguimiento al rendimiento académico de los estudiantes, el aumento de publicaciones disciplinares por parte de los docentes, y la mejora en los indicadores de movilidad académica, entre otras. Estas acciones evidencian una transformación tangible en los procesos misionales del programa, que han sido soportadas con datos y mecanismos de verificación institucional.
Paralelamente, el informe de avances del plan de mejoramiento presentado en 2023 recoge logros significativos en innovación académica y desarrollo profesoral. Se destaca la formación de docentes en temas estratégicos como inteligencia artificial, ciencia de datos y ciberseguridad, así como la implementación de estrategias como Saber Pro I y II, talleres de inglés técnico, y sistemas de monitoreo como SIGINV para la gestión de productos de investigación. Asimismo, se han realizado acciones institucionales para mejorar la tasa de graduación oportuna, el dominio de segunda lengua y la estandarización de guías propedéuticas.
Este proceso ha estado acompañado por una planificación estratégica coherente, la articulación entre sedes, la participación activa del comité curricular, y la evaluación constante de los resultados alcanzados.</t>
  </si>
  <si>
    <t>Aspecto 25.2</t>
  </si>
  <si>
    <t>Apreciación de los profesores y estudiantes sobre la calidad y pertinencia del proceso de evaluación y
autorregulación del programa, junto con las acciones emprendidas como resultado de dichas apreciaciones.</t>
  </si>
  <si>
    <t>Los resultados de la autoevaluación evidencian una percepción altamente positiva por parte de profesores y estudiantes respecto a la calidad y pertinencia del proceso de evaluación y autorregulación del programa de Ingeniería de Sistemas. En la sede Riohacha, el 68.40% de los estudiantes calificó la calidad del programa como “excelente” y el 58.40% como “totalmente pertinente” en relación con el entorno. En Maicao, estas cifras fueron del 52.82% y 48.21%, respectivamente.
 Del mismo modo, los docentes reconocen la claridad, transparencia y pertinencia de los mecanismos de evaluación aplicados por el programa. En Riohacha, el 56.52% de los docentes valoró como “excelente” el impacto de los mecanismos de evaluación en la mejora continua del programa, mientras que en Maicao lo hizo el 46.51%, seguido por un 39.53% que lo calificó como “muy bueno”.
Estas percepciones reflejan una cultura académica comprometida con la mejora continua, soportada por prácticas de evaluación periódica, participación activa del comité curricular y acciones sistemáticas de ajuste.</t>
  </si>
  <si>
    <t xml:space="preserve">Característica 26. </t>
  </si>
  <si>
    <t xml:space="preserve">Vinculación e interacción social </t>
  </si>
  <si>
    <t>Aspecto 26.1</t>
  </si>
  <si>
    <t>Evidencia de la participación de los profesores y estudiantes en la proyección social del programa.</t>
  </si>
  <si>
    <t>Documental - Resultados - Evidencias</t>
  </si>
  <si>
    <t>Cuadro Maestro del programa</t>
  </si>
  <si>
    <t xml:space="preserve">Durante el periodo 2020–2024, el programa de Ingeniería de Sistemas de la Universidad de La Guajira ha evidenciado una participación activa y sostenida en procesos de proyección social, integrando a docentes y estudiantes en más de 100 actividades orientadas al desarrollo comunitario, la apropiación social del conocimiento, la innovación y el fortalecimiento de capacidades digitales en poblaciones diversas. Según los registros sistematizados, se vincularon 476 profesores y 22 estudiantes, alcanzando una población atendida de 14.037 personas a través de jornadas, talleres, conferencias, ferias, diplomados, hackathones, encuentros con el sector externo y actividades con instituciones educativas.
En el año 2020, se reportó la participación de 23 profesores y 5 estudiantes, con una población atendida de 1.619 personas. En 2021, la cifra se incrementó a 33 docentes, con una población beneficiada de 3.764 personas. Para 2022, la participación fue aún más significativa con 121 docentes y 7 estudiantes, atendiendo a 1.457 personas. En 2023, se contó con 155 docentes en actividades que impactaron a 4.001 personas, y en 2024, con 119 docentes y 3 estudiantes, alcanzando a 2.797 beneficiarios.
Estas actividades han incluido programas destacados como: Programando en la Escuela, II Feria de Proyectos de Ingeniería, Ciclo de conferencias Saber Pro, Workshop Innovar para Emprender, Talleres de programación y robótica en instituciones educativas, Celebraciones del Día de la Creatividad y la Innovación, Encuentros con el sector externo y múltiples seminarios sobre tecnologías emergentes, inteligencia artificial, energías renovables y apropiación digital. La participación de estudiantes como facilitadores y de docentes como ponentes ha permitido articular la docencia, la extensión y la investigación aplicada, promoviendo el compromiso social universitario y aportando significativamente a la transformación de contextos educativos y comunitarios en el territorio.
</t>
  </si>
  <si>
    <t>Aspecto 26.2</t>
  </si>
  <si>
    <t xml:space="preserve">Evidencia del efecto de las estrategias y acciones de proyección social como un mecanismo para establecer los aportes del programa a la solución de problemas de la sociedad y a las mejoras de los aspectos curriculares.
</t>
  </si>
  <si>
    <t>Cuadro Maestro del programa
Analisis de actividades de Impacto</t>
  </si>
  <si>
    <t>El programa de Ingeniería de Sistemas ha consolidado una política de proyección social enfocada en contribuir a la transformación del entorno regional mediante acciones académicas, formativas y tecnológicas que responden a problemáticas específicas de la comunidad. Entre las estrategias implementadas se destaca la intervención directa en instituciones educativas de básica secundaria, especialmente en instituciones públicas como la IE Almirante Padilla y la IE Eusebio Septimio Mary, donde se han desarrollado programas como Programando en la escuela, Talleres de programación y robótica, Jornadas sobre TIC y derechos digitales, entre otros. Estas actividades han permitido fomentar el pensamiento lógico, incentivar vocaciones tecnológicas en jóvenes y cerrar brechas de acceso y uso de tecnologías.
El efecto de estas estrategias no solo se ha reflejado en la comunidad externa, sino también en los procesos formativos del programa. La interacción con el contexto ha llevado a la inclusión de nuevas temáticas en los contenidos curriculares, al fortalecimiento de asignaturas como Fundamentos de programación, Robótica educativa e Inteligencia artificial, y a la revisión de la pertinencia social del plan de estudios. Además, los estudiantes participantes han desarrollado habilidades comunicativas, de liderazgo, trabajo en equipo e innovación social, lo que ha sido valorado como una extensión del aula a escenarios reales.
Los datos de autoevaluación refuerzan este impacto: en la sede Riohacha, el 57.01% de los estudiantes califica como excelente su participación en actividades de relacionamiento nacional e internacional, y en Maicao, el 37.5% lo hace en el mismo sentido.
 A nivel docente, más del 90% de los profesores considera que el programa cuenta con el número idóneo de docentes para asumir funciones de extensión y que estas estrategias inciden positivamente en la calidad de la formación</t>
  </si>
  <si>
    <t>FACTOR 6. PERMANENCIA Y GRADUACIÓN</t>
  </si>
  <si>
    <t xml:space="preserve">Característica 27. </t>
  </si>
  <si>
    <t>Políticas, estrategias y estructura para la permanencia y la graduación</t>
  </si>
  <si>
    <t>Aspecto 27.1</t>
  </si>
  <si>
    <t>Análisis del efecto de las políticas, estrategias y acciones orientadas al mejoramiento de la permanencia y la
graduación en el programa, que incluyan el comportamiento en los últimos seis años o en la vigencia de la
acreditación si se trata de una renovación, de la tasa de deserción interanual, tasa de deserción por cohorte y la tasa de graduación acumulada del programa.</t>
  </si>
  <si>
    <t xml:space="preserve">Programa académico
Bienestar Social Universitario </t>
  </si>
  <si>
    <t>Informe de Bienestar Social Universitario 2020-2024</t>
  </si>
  <si>
    <t>Durante el periodo 2019-2024, el programa de Ingeniería de Sistemas de la Universidad de La Guajira ha implementado diversas políticas y estrategias para fortalecer la permanencia y la graduación exitosa de los estudiantes, como lo establece el Acuerdo 016 de 2023. Entre las principales acciones se destacan los servicios ofrecidos por el área de Permanencia y Graduación Exitosa, tales como tutorías, mentorías, acompañamiento al aprendizaje, seguimiento a estudiantes repitentes y la promoción a la graduación.
En cuanto a la deserción interanual, los registros muestran un comportamiento variable: en 2019-1 fue del 10,18%, bajando a 7,59% en 2019-2, pero aumentando a 14,95% en 2021-1. Posteriormente, se observó una disminución progresiva, alcanzando un 8,67% en 2023-1, aunque en 2023-2 volvió a subir a 11,05%. Este comportamiento refleja los retos persistentes del programa en términos de retención estudiantil, a pesar de los esfuerzos institucionales.
En cuanto a la tasa de graduación acumulada, esta ha mostrado una mejora paulatina: en el semestre 14, se ubicó en 10,68%, mientras que para el semestre 47 alcanzó un 39,66%, llegando finalmente a un 43,40% en el semestre 49. Esto sugiere que, si bien muchos estudiantes tardan más del tiempo ideal en culminar su formación, la mayoría logra graduarse gracias al acompañamiento brindado.
En total, 3.072 estudiantes fueron beneficiarios de alguna de las estrategias de permanencia y graduación entre 2019 y 2024, destacándose 2.565 estudiantes que continuaron con su formación académica. Las estrategias más utilizadas fueron las tutorías (1.237 usuarios) y el acompañamiento al aprendizaje (1.203 usuarios), seguidas por acciones específicas para repitentes (202) y promoción a la graduación (277).
Los apoyos socioeconómicos también han tenido un papel clave: 1.337 estudiantes recibieron beneficios como subsidios de alimentación, descuentos y apoyo como estudiantes auxiliares. Adicionalmente, se han otorgado reconocimientos académicos y distinciones institucionales a estudiantes insignes y tutores destacados, fomentando la excelencia académica y el compromiso estudiantil.</t>
  </si>
  <si>
    <t xml:space="preserve">Característica 28. </t>
  </si>
  <si>
    <t>Caracterización de estudiantes y sistema de alertas tempranas</t>
  </si>
  <si>
    <t>Aspecto 28.1</t>
  </si>
  <si>
    <t>Evidencia de la existencia e implementación de un sistema de alertas tempranas que permita reconocer las
particularidades de los estudiantes según su contexto sociocultural y la puesta en marcha de acciones que faciliten su proceso formativo, de acuerdo, al menos, con las normas nacionales vigentes en materia de inclusión y diversidad.</t>
  </si>
  <si>
    <t xml:space="preserve">Bienestar Social Universitario </t>
  </si>
  <si>
    <t>El Programa de Ingeniería de Sistemas de la Universidad de La Guajira ha implementado de manera efectiva el Sistema Integral de Alertas Tempranas (SIAT), diseñado para identificar y gestionar factores de riesgo que puedan afectar la permanencia de los estudiantes. Este sistema tiene como propósito reconocer variables de tipo académico, individual, socioeconómico y familiar, permitiendo así la caracterización individualizada de cada estudiante y la toma de decisiones informadas para intervenir oportunamente en los casos de posible deserción.
El SIAT se articula con otras estrategias implementadas por la institución como las tutorías, mentorías, acompañamiento al aprendizaje, promoción a la graduación y seguimiento a estudiantes repitentes, todas incluidas dentro de la política institucional de permanencia y graduación aprobada mediante Acuerdo 016 de 2023. Estas acciones han permitido generar un impacto positivo, evidenciado en la atención de más de 3.000 estudiantes entre 2019 y 2024 solo en el componente de estrategias de permanencia.
Además, se complementa con programas de bienestar institucional en áreas como salud mental, desarrollo humano, cultura, deporte y promoción socioeconómica, con servicios diseñados bajo criterios de equidad, inclusión y multiculturalidad, en coherencia con las normas nacionales vigentes. Entre estos, destaca el programa “Uniguajira Inclusiva”, que ha beneficiado a más de 500 estudiantes, y las estrategias de apoyo financiero como descuentos socioeconómicos y subsidios de alimentación.</t>
  </si>
  <si>
    <t>Aspecto 28.2</t>
  </si>
  <si>
    <t>Apreciación de estudiantes y profesores sobre la contribución de las estrategias del sistema de alertas
tempranas en su permanencia y graduación, junto con las acciones emprendidas como resultado de dichas
apreciaciones.</t>
  </si>
  <si>
    <t>Aseguramiento de la Calidad</t>
  </si>
  <si>
    <t>Con base en el análisis de las encuestas aplicadas a estudiantes del Programa de Ingeniería de Sistemas en las sedes de Riohacha y Maicao, se puede establecer que existe un alto nivel de conocimiento y valoración positiva hacia el Sistema Institucional de Alertas Tempranas (SIAT) y las estrategias implementadas para fortalecer la permanencia y graduación estudiantil.
En Riohacha, aproximadamente el 95% de los estudiantes manifestó conocer la existencia del SIAT y las acciones lideradas por Bienestar Universitario. Más del 90% consideró que estas estrategias son “totalmente pertinentes” o “muy pertinentes” para mitigar la deserción e incentivar la graduación exitosa. Asimismo, el 88% de quienes participaron en actividades como tutorías, talleres y acompañamientos académicos, calificaron su efectividad como “excelente” o “muy buena”.
En Maicao, aunque el nivel de conocimiento sobre el sistema también es elevado, se observó una menor participación directa en las estrategias ofrecidas, especialmente por parte de quienes respondieron “no” en las preguntas relacionadas con su involucramiento. Sin embargo, entre quienes sí participaron, más del 85% calificó la pertinencia de las estrategias como “totalmente” o “muy pertinente”, y el 80% destacó su efectividad en el acompañamiento y prevención de la deserción.</t>
  </si>
  <si>
    <t>Aspecto 28.3</t>
  </si>
  <si>
    <t>Presentación del análisis de los resultados derivados del sistema de alertas tempranas y su impacto
en el currículo, para mejorar el desempeño académico de los estudiantes, su permanencia y graduación.</t>
  </si>
  <si>
    <t xml:space="preserve">Documental - Análisis
</t>
  </si>
  <si>
    <t>El Programa de Ingeniería de Sistemas de la Universidad de La Guajira ha implementado, en articulación con el área de Permanencia y Graduación Exitosa de Bienestar Universitario, un sistema integral de seguimiento a estudiantes en riesgo de deserción o bajo desempeño académico. A través del Sistema Integral de Alertas Tempranas (SIAT), se identifican factores de riesgo asociados a dimensiones académicas, individuales, socioeconómicas y familiares, permitiendo intervenir de forma oportuna mediante estrategias de acompañamiento.
Entre 2019 y 2024-1, el programa ha beneficiado a 3.072 estudiantes mediante las distintas estrategias derivadas del SIAT. De ellos, 2.565 lograron mantenerse activos en sus estudios, mientras que 136 se graduaron exitosamente, lo que evidencia un impacto significativo de las acciones sobre la permanencia y el rendimiento académico. Las principales estrategias implementadas han sido tutorías (1.237 estudiantes), acompañamiento al aprendizaje (1.203), mentorías (153), promoción a la graduación (277) y seguimiento a estudiantes repitentes (202).
Estas acciones se han alineado con lo establecido en el Acuerdo 016 de 2023, que define las políticas institucionales de acceso, admisión, permanencia y graduación. Además, el servicio de tutorías ha sido regulado por la Resolución 0689 de 2024, y ha permitido fortalecer áreas de alta repitencia como algoritmos, matemáticas y física, influyendo directamente en la disminución del abandono académico.</t>
  </si>
  <si>
    <t xml:space="preserve">Característica 29. </t>
  </si>
  <si>
    <t xml:space="preserve">Ajustes a los aspectos curriculares </t>
  </si>
  <si>
    <t>Aspecto 29.1</t>
  </si>
  <si>
    <t>Evidencia de la evaluación y el mejoramiento de los aspectos curriculares derivados de los análisis del
desempeño académico de los estudiantes, la permanencia y la graduación.</t>
  </si>
  <si>
    <t>Propuesta de actualizacion curricular.
PEP</t>
  </si>
  <si>
    <t>Durante el proceso de autoevaluación y seguimiento a indicadores clave como el desempeño académico, la permanencia y la graduación de los estudiantes del Programa de Ingeniería de Sistemas, se identificaron oportunidades de mejora que dieron lugar a ajustes estructurales en el componente curricular. Estas acciones se concretaron en la actualización del Proyecto Educativo del Programa (PEP), la cual fue desarrollada con la participación activa de la comunidad académica. Como parte de este proceso, se realizaron ejercicios de socialización a través de la cátedra Uniguajira y jornadas de inducción dirigidas a estudiantes de primer semestre.
Paralelamente, el programa lleva a cabo la construccion de una reforma curricular sustentada en el análisis de los resultados de autoevaluación y en la retroalimentación obtenida de diferentes actores institucionales. Este ejercicio se deriba en la construcción de un plan de transición curricular, en el que se reorganizaran los créditos académicos, se ajustaron prerrequisitos, se modificaron asignaturas y se redistribuyeron contenidos a lo largo del plan de estudios, con el objetivo de mejorar la calidad del proceso formativo y fortalecer los niveles de retención y graduación. Estas acciones evidencian un compromiso sostenido con la mejora continua, fundamentada en datos y en un enfoque participativo.</t>
  </si>
  <si>
    <t xml:space="preserve">Característica 30. </t>
  </si>
  <si>
    <t>Mecanismos de selección</t>
  </si>
  <si>
    <t>Aspecto 30.1</t>
  </si>
  <si>
    <t xml:space="preserve">Evidencia y análisis de la evolución de la matrícula total de estudiantes del programa y de la relación entre
aspirantes inscritos, admitidos y matriculados en cada periodo, a fin de establecer la tasa de selectividad y/o
absorción del programa. </t>
  </si>
  <si>
    <t>Programa académico
Planeación
 Admisiones y Registro</t>
  </si>
  <si>
    <t>Cuadro Maestro de Ingenieria de Sistemas</t>
  </si>
  <si>
    <t>Entre los años 2020 y 2024, el Programa de Ingeniería de Sistemas en sus sedes de Maicao y Riohacha ha evidenciado un crecimiento sostenido tanto en cobertura como en eficiencia de admisión. En Maicao, la matrícula total del programa pasó de 304 estudiantes en 2020-I a 377 en 2024-II, mientras que en Riohacha, aumentó de 349 en 2020-I a 705 en 2024-II. Este crecimiento denota un fortalecimiento institucional en procesos de ingreso y retención.
En cuanto a la tasa de selectividad, Maicao alcanzó un valor máximo del 91% (2020-I), mostrando posteriormente cifras variables, como 33% en 2023-II y 65% en 2024-II. Por su parte, Riohacha ha tenido una evolución más estable, pasando de 72% en 2020-I a 58% en 2024-II. Este indicador evidencia los ajustes realizados por el programa para ampliar la cobertura sin sacrificar la calidad de ingreso.
La tasa de absorción, que refleja el porcentaje de admitidos que se matriculan efectivamente, ha sido consistentemente alta en ambas sedes. Maicao ha mantenido niveles entre el 86% y el 98%, y Riohacha entre el 81% y el 98%, destacando la efectividad de los mecanismos institucionales para transformar la admisión en vinculación académica.
Este comportamiento ha estado acompañado por una reducción progresiva de la deserción, resultado de políticas como la implementación del sistema de alertas tempranas (SIAT), el fortalecimiento del acompañamiento académico, y la ejecución de estrategias diferenciadas en bienestar universitario. Los datos indican que Maicao ha descendido de una deserción del 7.89% (2020-I) a promedios cercanos al 6%–9% en años recientes, mientras que Riohacha ha controlado la deserción dentro de un rango del 10.74% al 11.05% durante el mismo periodo.</t>
  </si>
  <si>
    <t>Aspecto 30.2</t>
  </si>
  <si>
    <t>Análisis de la correlación entre los mecanismos de selección, de desempeño académico, permanencia y
graduación que resulte en ajustes a los procesos de selección del programa.</t>
  </si>
  <si>
    <t xml:space="preserve">Documental - Análisis </t>
  </si>
  <si>
    <t>Actas comite curricular
Informe de Bienestar y Graduacion</t>
  </si>
  <si>
    <t>Durante los últimos años, el Programa de Ingeniería de Sistemas ha venido implementando acciones que permiten fortalecer el proceso de selección y admisión de estudiantes, con un enfoque diferencial hacia poblaciones indígenas, lo cual ha sido abordado en reuniones de comité curricular. En la Acta 005 del comité curricular (mayo de 2024), se acordó modificar la ponderación de los resultados del examen Saber 11 para la población indígena, eliminando el peso del componente de inglés (anteriormente del 20%) y redistribuyéndolo entre las áreas de matemáticas, lectura crítica y ciencias sociales. Esta decisión surge de la necesidad de mejorar las condiciones de ingreso sin comprometer los estándares académicos del programa.
A su vez, los análisis de desempeño académico, permanencia y graduación del periodo 2020-2024 reflejan un comportamiento coherente con los ajustes realizados. Se ha observado que los estudiantes que ingresan con un menor puntaje en inglés tienden a presentar mayores retos durante su formación, por lo que se ha planteado implementar estrategias de nivelación desde el inicio de su vida académica, incluyendo cursos de inglés de refuerzo ofrecidos en articulación con la Escuela de Idiomas.
Los informes de autoevaluación y seguimiento del programa indican que los índices de deserción han disminuido progresivamente tras la implementación de tutorías, mentorías y acompañamiento académico personalizado. Además, el sistema de alertas tempranas (SIAT) ha permitido identificar a tiempo a estudiantes con riesgo de deserción, lo cual ha favorecido la permanencia y el cierre efectivo de ciclo formativo, evidenciado en el aumento de la tasa de graduación acumulada que pasó de 10.68% (semestre 14) a 43.4% (semestre 49) según datos del informe 2024-2.
Estos hallazgos evidencian que existe una relación directa entre la implementación de políticas diferenciadas de selección y el rendimiento posterior de los estudiantes, lo que ha permitido realizar ajustes focalizados que promueven un tránsito académico más efectivo, inclusivo y con mayores posibilidades de graduación.</t>
  </si>
  <si>
    <t xml:space="preserve">FACTOR 7. INTERACCIÓN CON EL ENTORNO NACIONAL E INTERNACIONAL </t>
  </si>
  <si>
    <t xml:space="preserve">Característica 31. </t>
  </si>
  <si>
    <t xml:space="preserve">Inserción del programa en contextos académicos nacionales e internacionales </t>
  </si>
  <si>
    <t>Aspecto 31.1</t>
  </si>
  <si>
    <t xml:space="preserve">Evidencia del efecto de la aplicación de políticas y estrategias de cooperación con comunidades, nacionales e internacionales, en el desarrollo de labores formativas, académicas, docentes, científicas, culturales, deportivas y de extensión, así como en aspectos curriculares y en la revisión de tendencias y referentes nacionales e internacionales que contribuyan al mejoramiento continuo del programa. </t>
  </si>
  <si>
    <t>Programa académico
ORI</t>
  </si>
  <si>
    <t>Informe de Internacionalizacion Ingenieria de Sistemas
Estudio de comparabilidad Ingenieria de Sistemas</t>
  </si>
  <si>
    <t>El Programa de Ingeniería de Sistemas ha fortalecido su proyección internacional mediante estrategias de movilidad, cooperación académica y participación en redes universitarias. Se evidencia la participación de estudiantes y docentes en misiones académicas, cursos, ponencias y proyectos con universidades de países como México, Perú, Bolivia y España, lo cual ha enriquecido el componente formativo, investigativo y cultural.
En la reforma curricular reciente, el programa incorporó referentes nacionales e internacionales, incluidos modelos de ACOFI, ACIS, REDIS y programas acreditados en la región, como parte del análisis de comparabilidad. Esta integración ha permitido actualizar el perfil de egreso y reorganizar los contenidos del plan de estudios para alinearlos con estándares internacionales y necesidades del entorno profesional.
También se han promovido acciones de internacionalización en casa, tales como el uso de bibliografía internacional, clases con invitados extranjeros y estudios de caso internacionales, fomentando la formación global e interdisciplinaria de los estudiantes.</t>
  </si>
  <si>
    <t xml:space="preserve">Característica 32. </t>
  </si>
  <si>
    <t xml:space="preserve">Relaciones externas de estudiantes y profesores </t>
  </si>
  <si>
    <t>Aspecto 32.1</t>
  </si>
  <si>
    <t>Evidencia y análisis de los resultados de la cooperación académica y científica del programa, mediante
convenios, proyectos conjuntos, intercambios de profesores, estudiantes y la participación en redes científicas,
culturales y de extensión.</t>
  </si>
  <si>
    <t>Programa académico
ORI
Dirección de Investigación 
Dirección de Extensión</t>
  </si>
  <si>
    <t xml:space="preserve">Informe de Internacionalizacion Ingenieria de Sistemas
</t>
  </si>
  <si>
    <t>Desde el año 2020, el Programa de Ingeniería de Sistemas ha logrado avances significativos en materia de cooperación académica y científica a través de diversas estrategias e iniciativas institucionales. Se destaca la participación continua de estudiantes en el Programa Delfín, una iniciativa de movilidad académica internacional con México, en la que han desarrollado estancias de investigación junto a grupos de investigación extranjeros. Así mismo, algunos estudiantes han participado en actividades organizadas por el Instituto Confucio, mediante cursos de lengua y cultura china ofrecidos en alianza con la Universidad Jorge Tadeo Lozano.
En el marco de la cooperación con redes académicas, el programa ha promovido la vinculación de estudiantes a la Red Internacional de Semilleros de Investigación (RINSA), en la que se ha facilitado la realización de pasantías virtuales internacionales. Además, ha habido participación en experiencias formativas como e-MUNEA, un modelo de las Naciones Unidas en modalidad virtual con enfoque internacional, desarrollado por la Universidad del Norte.
De manera transversal, el programa también se articula con redes nacionales e internacionales como REDCOLSI, ACOFI, ASCUN y REDIS, a través de las cuales se fortalecen procesos de internacionalización en casa, intercambio de experiencias, visibilidad institucional y participación en eventos académicos de alcance global.</t>
  </si>
  <si>
    <t>Aspecto 32.2</t>
  </si>
  <si>
    <t>Apreciación de profesores, estudiantes y egresados sobre los resultados de la cooperación académica y científica derivados de la aplicación de políticas y estrategias que favorezcan la interacción de profesores y estudiantes con sus homólogos, a nivel nacional e internacional, junto con las acciones emprendidas como resultado de dichas apreciaciones.</t>
  </si>
  <si>
    <t xml:space="preserve">Aseguramiento de la Calidad </t>
  </si>
  <si>
    <t xml:space="preserve">Característica 33. </t>
  </si>
  <si>
    <t xml:space="preserve">Habilidades comunicativas en una segunda lengua </t>
  </si>
  <si>
    <t>Aspecto 33.1</t>
  </si>
  <si>
    <t>Programa académico
Centro de Lenguas
ORI</t>
  </si>
  <si>
    <t xml:space="preserve">FACTOR 8. APORTES DE LA INVESTIGACIÓN, LA INNOVACIÓN, EL DESARROLLO TECONOLÓGICO Y LA CREACIÓN, ASOCIADOS AL PROGRAMA ACADÉMICO </t>
  </si>
  <si>
    <t xml:space="preserve">Característica 34. </t>
  </si>
  <si>
    <t xml:space="preserve">Formación para la investigación, desarrollo tecnológico, la innovación y la creación. </t>
  </si>
  <si>
    <t>Aspecto 34.1</t>
  </si>
  <si>
    <t>Evidencia de las estrategias implementadas para el desarrollo de las competencias investigativas, de innovación
o creación artística y cultural de los estudiantes, en coherencia con la naturaleza, nivel de formación y la modalidad de oferta del programa.</t>
  </si>
  <si>
    <t xml:space="preserve">Documental - Evidencias </t>
  </si>
  <si>
    <t>Programa académico
Dirección de Investigación</t>
  </si>
  <si>
    <t xml:space="preserve">Cuadro Maestro </t>
  </si>
  <si>
    <t>Durante el periodo 2019–2024, el Programa de Ingeniería de Sistemas ha implementado diversas estrategias para el fortalecimiento de las competencias investigativas, de innovación y de creación en los estudiantes, en coherencia con su nivel de formación y modalidad de oferta. Una de las principales estrategias ha sido el impulso a la participación estudiantil en semilleros de investigación, con presencia activa en sedes como Riohacha y Maicao. Semilleros como Desarrolladores de Proyectos e Ideas Tecnológicas, SecTec, Energías e Innovatech Dev han sido espacios clave para la formación en pensamiento crítico, solución de problemas, desarrollo de software y apropiación social del conocimiento.
La Universidad ha respaldado estos procesos mediante convocatorias internas como la establecida por la Resolución 1481 de 2023, que financia proyectos de investigación estudiantil con recursos de hasta $9.000.000 COP. Esta financiación permite que los proyectos vinculados a semilleros no solo desarrollen productos como sistemas de información, aplicativos móviles y herramientas web, sino que también exijan entregables concretos como capítulos de libros, ponencias y socialización de resultados. En los últimos cinco años, se registraron 21 estudiantes formalmente vinculados a semilleros activos y, al menos, 10 proyectos académicos liderados por docentes del programa que fueron desarrollados como trabajos de grado con enfoque investigativo, con participación estudiantil desde los semilleros. Estos proyectos abordaron temáticas enmarcadas en líneas como Desarrollo de Software, Gobernabilidad de TI, Inteligencia Artificial y Tecnologías Educativas.
De manera adicional, se evidencia la participación activa de estudiantes en eventos científicos nacionales e internacionales, así como el desarrollo de productos académicos que fortalecen la apropiación del conocimiento. La ruta de formación investigativa del programa inicia desde asignaturas básicas como Fundamentos de Investigación, y culmina con el desarrollo de trabajos de grado con orientación investigativa, lo cual permite medir la evolución de las competencias investigativas a lo largo del plan de estudios.</t>
  </si>
  <si>
    <t>Aspecto 34.2</t>
  </si>
  <si>
    <t>Apreciación de los estudiantes acerca de la formación para la investigación, el desarrollo de un pensamiento crítico, creativo e innovador, así como el desarrollo tecnológico, la innovación y la creación promovida en el programa, junto con las acciones emprendidas como resultado de dichas apreciaciones.</t>
  </si>
  <si>
    <t>Las encuestas aplicadas en 2024 a estudiantes del Programa de Ingeniería de Sistemas en las sedes de Riohacha y Maicao evidencian una valoración positiva sobre la formación en investigación, pensamiento crítico, innovación y desarrollo tecnológico. En Riohacha, el 95.6 % de los estudiantes reconoce conocer estas oportunidades y el 57.2 % ha participado; mientras que en Maicao, aunque el 96.4 % las conoce, solo el 24.6 % ha participado, mostrando una diferencia en el grado de involucramiento.
Sobre la calidad de la formación impartida, más del 85 % de los estudiantes de ambas sedes califican como excelente o muy buena la formación en investigación, innovación y creación. Asimismo, el 88 % afirma que el programa les proporciona herramientas para desarrollar proyectos de manera autónoma.</t>
  </si>
  <si>
    <t xml:space="preserve">Característica 35. </t>
  </si>
  <si>
    <t xml:space="preserve">Compromiso con la investigación, desarrollo tecnológico, la innovación y la creación. </t>
  </si>
  <si>
    <t>Aspecto 35.1</t>
  </si>
  <si>
    <t>Evidencia de la existencia de un reglamento de propiedad intelectual, de grupos de investigación categorizados y de profesores investigadores reconocidos en las convocatorias de medición de Minciencias, acorde con el Proyecto Educativo del Programa, el nivel de formación y la modalidad del programa.</t>
  </si>
  <si>
    <t>Acuerdo No. 002 del 29 Estatuto de Propiedad Intelectual.
Cuadro Maestro</t>
  </si>
  <si>
    <t>La Universidad de La Guajira cuenta con un Estatuto de Propiedad Intelectual adoptado mediante el Acuerdo No. 002 del 29 de enero de 2021, el cual establece un marco normativo claro para la protección, uso, transferencia y titularidad de las creaciones intelectuales derivadas de la docencia, investigación e innovación. Este estatuto es de obligatorio cumplimiento para toda la comunidad universitaria, incluidos estudiantes, docentes, asesores, contratistas y aliados, y regula aspectos como derechos patrimoniales, derechos morales, confidencialidad, uso de marcas y distribución de beneficios por licencias o explotación de resultados.
En el periodo 2020–2024, el Programa de Ingeniería de Sistemas ha contado con la participación de 14 grupos de investigación reconocidos o categorizados por Minciencias, entre los cuales se destacan Universidad Paralela, MOTIVAR, IPAITUG, GEPINCAT, Evolución Virtual y GIFES, todos con trayectoria consolidada y alineados a las líneas de investigación del programa. Los grupos fueron registrados bajo los códigos COL0020894, COL0164259, COL0155849, COL0161284, COL0161112 y COL0018779, entre otros.
Durante estos cinco años, se reportaron más de 20 docentes investigadores del programa adscritos a dichos grupos, y al menos 10 de ellos han sido categorizados individualmente como Investigadores Junior (IJ) o Asociados (I) en convocatorias oficiales. Esta participación ha sido constante en las convocatorias 833 de 2018 y 894 de 2021, reflejando un compromiso sostenido con la generación de conocimiento. Además, grupos como Universidad Paralela han concentrado una masa crítica de investigadores del programa, reflejando el enfoque del PEP en el fortalecimiento de capacidades investigativas desde las ciencias de la computación y tecnologías emergentes.</t>
  </si>
  <si>
    <t>Aspecto 35.2</t>
  </si>
  <si>
    <t>Evidencia de resultados de investigación, desarrollo tecnológico, innovación o creación de los profesores del
programa, que contribuyan al fortalecimiento de los aspectos curriculares, la formación de los estudiantes y a la
generación de nuevo conocimiento o a la solución de problemas de la sociedad, en coherencia con el Proyecto
Educativo del Programa, el nivel de formación y la modalidad del programa.</t>
  </si>
  <si>
    <t>Entre 2020 y 2024, los docentes del Programa de Ingeniería de Sistemas ejecutaron 36 proyectos de investigación, desarrollo tecnológico e innovación, orientados a la solución de problemáticas del contexto regional y nacional, en coherencia con el Proyecto Educativo del Programa, el nivel de formación y su modalidad presencial. Estos proyectos han estado vinculados a líneas institucionales y se han articulado con el currículo mediante la participación de estudiantes, la orientación de trabajos de grado y la incorporación de resultados en asignaturas. Como fruto de estas actividades, se generaron más de 50 productos de investigación, entre artículos científicos, capítulos de libros, software registrado y ponencias en eventos académicos, evidenciando el impacto formativo y académico de la labor investigativa docente en el fortalecimiento del programa.</t>
  </si>
  <si>
    <t xml:space="preserve">FACTOR 9. BIENESTAR DE LA COMUNIDAD ACADÉMICA DEL PROGRAMA </t>
  </si>
  <si>
    <t xml:space="preserve">Característica 36. </t>
  </si>
  <si>
    <t>Programas y servicios</t>
  </si>
  <si>
    <t>Aspecto 36.1</t>
  </si>
  <si>
    <t>Análisis sistemáticos de la participación de estudiantes y profesores en las actividades de bienestar en cada uno
de los escenarios de práctica.</t>
  </si>
  <si>
    <t>Informe de Bienestar Social Universitario</t>
  </si>
  <si>
    <t>Entre 2019 y 2024, el Programa de Ingeniería de Sistemas ha mantenido una participación activa y sistemática en los servicios y programas de Bienestar Social Universitario. En el área de salud, los estudiantes realizaron un total de 2.837 asistencias, siendo los servicios más frecuentados odontología (559), medicina general (241), y primeros auxilios (348). Por su parte, los docentes y administrativos sumaron 337 participaciones, destacando en medicina general, promoción y mantenimiento de la salud, fisioterapia y convenios externos.
En cuanto a actividades deportivas, los estudiantes acumularon 2.546 participaciones, principalmente en fútbol sala (306), voleibol (296), fútbol (272) y baloncesto (205). Los docentes participaron de manera más limitada, con un total de 60 registros, concentrados en fútbol, eventos recreativos y entrenamiento funcional.
En el ámbito cultural, los estudiantes realizaron 2.138 participaciones, especialmente en eventos de proyección artística, música, danza y talleres. No se registró participación de docentes o administrativos en esta área.
Respecto a desarrollo humano, los estudiantes del programa participaron en 4.156 actividades, destacando programas como adaptación a la vida universitaria (1.194), cultura universitaria (1.022), salud mental (266) y orientación profesional (399). Los docentes y administrativos realizaron 103 participaciones, mayormente en desarrollo organizacional y salud mental.
En el componente socioeconómico, 1.337 estudiantes fueron beneficiarios de apoyos como descuentos, subsidios de alimentación y vinculación como auxiliares. Estas estrategias han contribuido a la permanencia académica, en articulación con el área de Permanencia y Graduación Exitosa, que registró 3.860 participaciones estudiantiles, principalmente en tutorías (1.418), madrinazgo (1.399) y mentorías (383).</t>
  </si>
  <si>
    <t>Aspecto 36.2</t>
  </si>
  <si>
    <t>Apreciación de los estudiantes, profesores y personal administrativo sobre la incidencia de la implementación de
políticas, programas y servicios de bienestar, en coherencia con las condiciones y necesidades de la comunidad en cada uno de los lugares y escenarios de práctica donde desarrolla sus labores, en correspondencia con el nivel de formación y la modalidad del programa, junto con las acciones emprendidas como resultado de dichas apreciaciones.</t>
  </si>
  <si>
    <t>Los actores de la comunidad académica del Programa de Ingeniería de Sistemas evidencian una valoración positiva respecto a la implementación de políticas, programas y servicios de Bienestar Universitario. El 96 % de los estudiantes de ambas sedes conoce estas iniciativas y más del 55 % ha participado activamente en actividades culturales, deportivas, de salud o desarrollo humano, destacando la utilidad y pertinencia de estas para su vida universitaria.
Los docentes también reconocen el impacto positivo de las políticas institucionales de bienestar. En Maicao, el 98 % afirma haber participado en actividades orientadas al desarrollo integral docente y el 63 % califica ese impacto como excelente. En Riohacha, el 100 % de los docentes reconoce la existencia de estas políticas, y más del 89 % considera que generan valor agregado en su crecimiento profesional.
Por su parte, los directivos y administrativos también muestran una percepción favorable. En Riohacha, el 85.7 % considera que las estrategias de bienestar contribuyen al mejoramiento continuo, y en Maicao el 100 % califica como “muy buenas” las políticas institucionales orientadas al bienestar de la comunidad.
Como resultado de estas apreciaciones, el programa ha fortalecido la articulación con la Dependencia de Bienestar social universitario, promoviendo programas de salud mental, apoyo socioeconómico, actividades culturales y deportivas, además de la inclusión de actividades formativas en los escenarios de práctica que contribuyen al desarrollo integral de los actores institucionales.</t>
  </si>
  <si>
    <t xml:space="preserve">Característica 37. </t>
  </si>
  <si>
    <t>Participación y seguimiento</t>
  </si>
  <si>
    <t>Aspecto 37.1</t>
  </si>
  <si>
    <t>Análisis sistemáticos de la participación de la comunidad del programa en los planes y las actividades de
bienestar, de acuerdo con las particularidades de la población estudiantil, académica y administrativa.</t>
  </si>
  <si>
    <t>Entre 2020 y 2024, el Programa de Ingeniería de Sistemas ha realizado un seguimiento sistemático a la participación de su comunidad académica en los planes y actividades de Bienestar Universitario, teniendo en cuenta las necesidades diferenciadas de estudiantes, docentes y administrativos. En este periodo, se registraron 2.837 participaciones estudiantiles en servicios de salud, con mayor demanda en primeros auxilios, odontología y medicina general, lo que refleja una atención sostenida a condiciones de salud básica y prevención.
En el componente deportivo, los estudiantes acumularon 2.546 participaciones, destacándose en disciplinas como fútbol sala, voleibol, fútbol y baloncesto. Las actividades culturales alcanzaron 2.138 registros estudiantiles, principalmente en eventos de música, danza y expresión artística. Por su parte, en el área de desarrollo humano se evidenció una participación destacada de 4.156 estudiantes, en actividades relacionadas con salud mental, orientación profesional, cultura universitaria y adaptación a la vida universitaria.
En términos de apoyos institucionales, 1.337 estudiantes del programa recibieron beneficios socioeconómicos como subsidios de alimentación, vinculación como auxiliares y apoyos especiales. Además, el componente de permanencia académica registró 3.860 participaciones, con énfasis en estrategias como tutorías, mentorías y acompañamiento psicoeducativo.
En cuanto a la participación de docentes y administrativos, se registraron más de 500 participaciones en servicios de salud, desarrollo organizacional, promoción de hábitos saludables y actividades físicas, lo cual evidencia la inclusión activa de todos los actores en los programas de bienestar.
Por lo anterior se evidencia que se garantiza acceso a los servicios institucionales, donde además se evidencia que el programa hace un análisis sistemático de la participación de su comunidad, considerando su diversidad y necesidades particulares, con impacto directo en la calidad de vida universitaria.</t>
  </si>
  <si>
    <t>Aspecto 37.2</t>
  </si>
  <si>
    <t>Evaluación de la calidad y pertinencia de la infraestructura, espacios y servicios de bienestar por parte de la
comunidad del programa, junto con las acciones emprendidas como resultado de dicha evaluación.</t>
  </si>
  <si>
    <t>Programa académico
Bienestar Universitario</t>
  </si>
  <si>
    <t>El Programa de Ingeniería de Sistemas ha realizado un seguimiento sistemático a la calidad y pertinencia de los servicios y espacios de Bienestar Universitario a partir del análisis de participación, demanda y resultados funcionales, lo cual ha permitido identificar niveles de satisfacción e impacto en la comunidad académica. Aunque no se dispone de encuestas específicas sobre percepción física de la infraestructura, el alto volumen de participación estudiantil y docente en áreas como salud, cultura, deporte, desarrollo humano y permanencia sugiere una valoración positiva del acceso, cobertura y funcionalidad de estos servicios.
En respuesta a las necesidades identificadas, se han emprendido acciones como la ampliación de estrategias mixtas (virtuales y presenciales) para garantizar la continuidad y cobertura en distintos escenarios de práctica, el fortalecimiento del componente de salud mental y apoyo psicosocial, la consolidación de programas de acompañamiento como tutorías, mentorías y madrinazgos, así como el reconocimiento institucional a estudiantes y docentes vinculados activamente a los programas de bienestar. Estas acciones responden a las condiciones particulares de las sedes y contribuyen a la permanencia académica y al desarrollo integral de la comunidad, en coherencia con el Proyecto Educativo del Programa.</t>
  </si>
  <si>
    <t>FACTOR 10. MEDIOS EDUCATIVOS Y AMBIENTES DE APRENDIZAJE</t>
  </si>
  <si>
    <t xml:space="preserve">Característica 38. </t>
  </si>
  <si>
    <t>Estrategias y recursos de apoyo a profesores</t>
  </si>
  <si>
    <t>Aspecto 38.1</t>
  </si>
  <si>
    <t>Demostración de los resultados y la incidencia de la implementación de las estrategias y recursos de apoyo
(pedagógico-didáctico) en los contextos de actuación de los profesores para el mejoramiento de sus prácticas de enseñanza-aprendizaje teniendo en cuenta la diversidad y la inclusión.</t>
  </si>
  <si>
    <t xml:space="preserve">Plan de capacitacion docente
Docentes capacitados </t>
  </si>
  <si>
    <t>El Programa de Ingeniería de Sistemas ha fortalecido la implementación de estrategias y recursos de apoyo pedagógico-didáctico orientados a mejorar las prácticas de enseñanza-aprendizaje de sus docentes, con enfoque en inclusión, uso de TIC y metodologías innovadoras. En articulación con el plan de mejoramiento institucional y a través de convenios con universidades internacionales como la UNIR (España), se han capacitado al menos 13 docentes del programa en temas como Inteligencia Artificial Generativa aplicada a la educación, diseño de materiales digitales, liderazgo pedagógico y competencias docentes en entornos virtuales, mediante cursos y diplomados realizados en modalidad virtual durante el primer semestre de 2024.
Adicionalmente, se destaca que varios de estos docentes aplican estrategias didácticas innovadoras como aprendizaje basado en proyectos, gamificación, flipped classroom y uso de herramientas de IA, con énfasis en atender las necesidades de estudiantes con diferentes ritmos de aprendizaje. Estos procesos han sido integrados en el diseño de actividades evaluativas, recursos digitales y acompañamiento a la formación autónoma, y han sido socializados en espacios como jornadas pedagógicas.
La articulación entre las capacitaciones realizadas, el desarrollo profesional docente y la aplicación en el aula evidencia un impacto positivo en la calidad de la enseñanza, el diseño curricular adaptado a contextos diversos y la apropiación de recursos para fomentar aprendizajes significativos. Estas acciones son coherentes con los lineamientos del Proyecto Educativo del Programa y con la modalidad presencial en la que se desarrolla.</t>
  </si>
  <si>
    <t>Aspecto 38.2</t>
  </si>
  <si>
    <t>Apreciación de los profesores y los estudiantes en relación con las estrategias pedagógicas, tecnológicas y de
acompañamiento dispuestas por el programa para el desarrollo de las habilidades comunicativas y de interacción de los profesores con los estudiantes, junto con las acciones emprendidas como resultado de dichas apreciaciones.</t>
  </si>
  <si>
    <t>Las encuestas aplicadas en 2024 a estudiantes y docentes del Programa de Ingeniería de Sistemas de las sedes Riohacha y Maicao reflejan una valoración positiva de las estrategias implementadas para fomentar la interacción docente-estudiante y el desarrollo de habilidades comunicativas. El 96.9 % de los estudiantes en Maicao y el 94.8 % en Riohacha consideran que las estrategias utilizadas por los docentes han sido efectivas para facilitar el proceso formativo. A su vez, un promedio del 98 % de los docentes manifiesta que ha recibido información, formación o acompañamiento institucional que incide en el mejoramiento de su práctica pedagógica.
Tanto estudiantes como profesores destacan como favorables las estrategias basadas en la virtualidad, el uso de plataformas educativas, la tutoría personalizada y las metodologías participativas que promueven la expresión oral y escrita, la retroalimentación continua y la apertura al diálogo. Esto ha incidido en la percepción de una relación cercana entre los actores educativos y ha fortalecido los procesos de aprendizaje autónomo y colaborativo.</t>
  </si>
  <si>
    <t xml:space="preserve">Característica 39. </t>
  </si>
  <si>
    <t>Estrategias y recursos de apoyo a estudiantes</t>
  </si>
  <si>
    <t>Aspecto 39.1</t>
  </si>
  <si>
    <t>Evidencia de la disponibilidad y capacidad de talleres, laboratorios, equipos, medios audiovisuales, sitios de
práctica, estaciones y granjas experimentales, escenarios de simulación virtual, entre otros, para el adecuado
desarrollo de la actividad docente, investigativa y de extensión, según requerimientos del programa.</t>
  </si>
  <si>
    <t>Programa académico
Planeación
SILAB
Dirección de Sistemas</t>
  </si>
  <si>
    <t>El Programa de Ingeniería de Sistemas cuenta con una infraestructura física y tecnológica suficiente para respaldar sus actividades docentes, investigativas y de extensión. Dispone de laboratorios especializados como el de Redes y el de Software, con capacidad instalada para atender grupos completos de estudiantes y equipados con tecnología adecuada para el desarrollo de competencias prácticas. Además, los laboratorios de física y las salas TIC complementan los espacios necesarios para las asignaturas del componente básico y aplicado.</t>
  </si>
  <si>
    <t>Aspecto 39.2</t>
  </si>
  <si>
    <t>Apreciación de los estudiantes sobre la utilidad y pertinencia de las estrategias y recursos de apoyo brindados
por la institución para el desarrollo de su proceso formativo en diferentes contextos, junto con las acciones
emprendidas como resultado de dichas apreciaciones.</t>
  </si>
  <si>
    <t>Los estudiantes del Programa de Ingeniería de Sistemas de las sedes Riohacha y Maicao valoran de manera positiva los recursos académicos y las estrategias de acompañamiento dispuestas por la institución para su formación. En Riohacha, el 97.2 % de los encuestados considera que los recursos como laboratorios, biblioteca y salas de cómputo son útiles para su proceso formativo, mientras que en Maicao este porcentaje fue del 95.3 %. La frecuencia de uso también es destacada, con un 46.7 % en Maicao y 70.37 % en Riohacha que los utiliza entre dos y tres veces por semana o más.
En cuanto a la pertinencia de las estrategias implementadas por el programa para garantizar un proceso formativo efectivo, el 85.6 % en Maicao y el 94.24 % en Riohacha las califica como totalmente o muy pertinentes. Esto indica que las estrategias pedagógicas, metodológicas y de apoyo académico están alineadas con las necesidades y expectativas de los estudiantes en sus respectivos contextos.
Como resultado de estas apreciaciones, se evidencia que el programa ha fortalecido la dotación tecnológica, el uso de plataformas digitales, y la oferta de cursos de formación docente en metodologías activas y tecnologías emergentes, acciones que han impactado positivamente la calidad del proceso de enseñanza-aprendizaje y la percepción de utilidad por parte de los estudiantes.</t>
  </si>
  <si>
    <t xml:space="preserve">Característica 40. </t>
  </si>
  <si>
    <t>Recursos bibliográficos y de información</t>
  </si>
  <si>
    <t>Aspecto 40.1</t>
  </si>
  <si>
    <t>Análisis de la correspondencia entre la inversión en recursos bibliográficos y de información, su utilización por
parte de la comunidad del programa, demostrando la suficiencia y pertinencia para el desarrollo de actividades de docencia, investigación y extensión, de acuerdo con el nivel de formación y modalidad del programa.</t>
  </si>
  <si>
    <t>Programa académico
Biblioteca</t>
  </si>
  <si>
    <t xml:space="preserve">Informe de Biblioteca </t>
  </si>
  <si>
    <t>Entre 2020 y 2024, la Universidad de La Guajira ha invertido más de 4.900 millones de pesos en recursos bibliográficos y tecnológicos, fortaleciendo el acceso de los estudiantes y docentes del Programa de Ingeniería de Sistemas a medios pertinentes para la docencia, la investigación y la extensión. La colección física incluye 5.968 ejemplares en áreas clave como programación, redes, bases de datos, inteligencia artificial y estadística, complementada con el acceso a 83 bases de datos y más de 89.000 libros electrónicos.
El uso de estos recursos ha sido significativo: las consultas digitales de estudiantes pasaron de 158 en 2021 a 5.405 en 2023, mientras que las de docentes aumentaron de 194 a 1.435 en el mismo periodo. Asimismo, se realizaron más de 315 capacitaciones en bases de datos para la comunidad académica, y se registraron cerca de 500 préstamos físicos de libros.
Estos datos evidencian la correspondencia entre la inversión realizada, el uso efectivo de los recursos y su pertinencia para los fines formativos del programa, acorde con su modalidad presencial y nivel profesional.</t>
  </si>
  <si>
    <t>Aspecto 40.2</t>
  </si>
  <si>
    <t>Apreciación de estudiantes y profesores acerca de la pertinencia, actualización y suficiencia del material bibliográfico con que cuenta el programa, para apoyar el desarrollo de las distintas actividades académicas, de acuerdo con su nivel de formación y modalidad, junto con las acciones emprendidas como resultado de dichas apreciaciones.</t>
  </si>
  <si>
    <t>Los estudiantes y profesores del Programa de Ingeniería de Sistemas manifiestan una percepción positiva respecto a la calidad y pertinencia del material bibliográfico disponible. En la sede Riohacha, el 95.6 % de los estudiantes indicó conocer materiales producidos por los docentes, y el 83.6 % ha utilizado dichos recursos. De ellos, el 91.4 % califica su calidad como excelente o muy buena, y el 94.25 % considera que son totalmente o muy pertinentes.
En Maicao, el 66.7 % de los estudiantes reconoce haber utilizado material docente propio del programa, y el 84.6 % lo califica como excelente o muy bueno. La percepción de los docentes también es favorable: en ambas sedes, más del 87 % considera que los recursos bibliográficos son pertinentes y actualizados, y destacan su utilidad para la enseñanza y el fortalecimiento de los resultados de aprendizaje.</t>
  </si>
  <si>
    <t>FACTOR 11. ORGANIZACIÓN, ADMINISTRACIÓN Y FINANCIACIÓN DEL PROGRAMA
ACADÉMICO</t>
  </si>
  <si>
    <t xml:space="preserve">Característica 41. </t>
  </si>
  <si>
    <t>Organización y administración</t>
  </si>
  <si>
    <t>Aspecto 41.1</t>
  </si>
  <si>
    <t>Evidencia de la participación de representantes de la comunidad académica, a través de estructuras organizacionales definidas por la institución, y de su contribución, en el desarrollo y mejoramiento del programa.</t>
  </si>
  <si>
    <t>Programa académico
Secretaría General</t>
  </si>
  <si>
    <t>Organigrama De la Universidad De la La Guajira
Actas del comité curricular</t>
  </si>
  <si>
    <t>La participación de la comunidad académica en el desarrollo y mejoramiento del Programa de Ingeniería de Sistemas se da a través de estructuras organizacionales definidas por la Universidad de La Guajira, conforme a lo establecido en el artículo 62 de la Ley 30 de 1992 y a los estatutos internos. La dirección general de la institución recae en el Consejo Superior, el Rector y el Consejo Académico, y se complementa con los Consejos de Facultad y los Comités académicos, entre ellos el Consejo de Facultad de Ingeniería y el Comité Curricular del Programa de Ingeniería de Sistemas, instancias claves para la toma de decisiones académicas y curriculares.
En estos órganos participan activamente docentes, estudiantes y egresados elegidos democráticamente, quienes representan a sus respectivos estamentos y aportan en la revisión de planes de estudio, propuestas de mejora, evaluación de asignaturas, procesos de autoevaluación y desarrollo de proyectos institucionales. Las actas del comité curricular y del Consejo de Facultad reflejan de manera constante la discusión y concertación de aspectos relevantes para la formación, infraestructura, estrategias pedagógicas, investigación y extensión, lo que garantiza una toma de decisiones participativa y con enfoque en calidad.</t>
  </si>
  <si>
    <t>Aspecto 41.3</t>
  </si>
  <si>
    <t xml:space="preserve">Apreciación de estudiantes, profesores y egresados sobre su participación en cuerpos colegiados, y en decisiones orientadas al mejoramiento del programa, junto con las acciones emprendidas como resultado de dichas apreciaciones. </t>
  </si>
  <si>
    <t>Las encuestas realizadas evidencian que existe una valoración positiva por parte de estudiantes, docentes y egresados respecto a su participación en los cuerpos colegiados y procesos de toma de decisiones académicas. En Riohacha, el 83 % de los estudiantes afirma estar informado sobre las posibilidades de participación en comités del programa, y un 65 % considera que su opinión es tenida en cuenta en procesos académicos. En Maicao, el 76 % de los estudiantes comparte una apreciación similar, reconociendo que han sido convocados o informados sobre espacios de representación estudiantil.
Desde la perspectiva docente, más del 72 % de los profesores en ambas sedes ha participado en comités curriculares, de evaluación o en el Consejo de Facultad, valorando estos espacios como fundamentales para proponer mejoras curriculares, ajustar metodologías de enseñanza y validar estrategias pedagógicas.
En cuanto a los egresados, los resultados indican que más del 68 % ha participado en al menos una reunión consultiva, encuesta o comité en calidad de invitado o representante, especialmente en ejercicios de autoevaluación y actualización del plan de estudios, destacando que la institución promueve su vinculación en procesos clave del programa.
Como respuesta a estas apreciaciones, el programa ha fortalecido los mecanismos de convocatoria y sistematización de las opiniones de todos los estamentos, asegurando que las decisiones académicas se fundamenten en el diálogo y la participación activa de su comunidad.</t>
  </si>
  <si>
    <t xml:space="preserve">Característica 42. </t>
  </si>
  <si>
    <t>Dirección y gestión</t>
  </si>
  <si>
    <t>Aspecto 42.1</t>
  </si>
  <si>
    <t>Evidencia de los mecanismos existentes para la dirección y gestión del programa que contribuyen al mejoramiento de las dinámicas administrativas y académicas y al relacionamiento con los grupos de interés.</t>
  </si>
  <si>
    <t>La dirección y gestión del Programa de Ingeniería de Sistemas se desarrollan conforme a los lineamientos establecidos por el Estatuto General de la Universidad de La Guajira, el Reglamento Académico, el Reglamento Estudiantil y los manuales de procesos institucionales. El programa cuenta con una estructura organizativa clara, encabezada por el Director(a) de programa y apoyada por cuerpos colegiados como el Comité Curricular, el Consejo de Facultad de Ingeniería, y las comisiones de autoevaluación, prácticas, extensión, entre otras. Estas instancias están reguladas por normas institucionales y sus funciones están claramente definidas, lo que garantiza la articulación de la gestión administrativa con los fines misionales.</t>
  </si>
  <si>
    <t>Aspecto 42.2</t>
  </si>
  <si>
    <t>Apreciación de profesores y estudiantes sobre la eficiencia, eficacia y orientación de los procesos administrativos hacia el desarrollo de las labores formativas, académicas, docentes, científicas, culturales y de extensión, junto con las acciones emprendidas como resultado de dichas apreciaciones.</t>
  </si>
  <si>
    <t>La apreciación general de estudiantes y docentes del Programa de Ingeniería de Sistemas frente a los procesos administrativos es favorable, destacándose niveles altos de satisfacción con su eficiencia y orientación hacia el desarrollo académico. En la sede Maicao, el 78.43 % de los docentes manifestó conocer y haber socializado el reglamento estudiantil, y un 55 % calificó su aplicación como excelente. En cuanto a los procesos de selección y vinculación docente, el 56.86 % los calificó como excelentes, mientras que el 49.02 % destacó la calidad de las estrategias para la permanencia. En Riohacha, el 60 % consideró excelentes los procesos de contratación y el 58.57 % valoró de manera sobresaliente la permanencia docente.
Respecto al estatuto profesoral, en ambas sedes más del 90 % de los docentes lo conocen y califican su aplicación como eficiente. En relación con el desarrollo profesoral, el 90 % ha participado en actividades de formación, y un 63 % en Maicao y un 55.88 % en Riohacha consideran que estas actividades impactan positivamente en la calidad de la formación. Además, más del 95 % de los estudiantes afirmaron conocer los mecanismos de evaluación docente, y el 89.23 % en Maicao y 92 % en Riohacha consideraron que son adecuados.
Estos resultados reflejan que los procesos administrativos institucionales están alineados con las funciones misionales del programa. La eficiencia y claridad de los mecanismos, así como la percepción positiva sobre su impacto en la calidad educativa, evidencian un entorno institucional que apoya el desarrollo académico y profesional. Como acción derivada, el programa ha promovido la capacitación docente, la actualización normativa y el fortalecimiento de la gestión académica como mecanismos para continuar mejorando estos procesos.</t>
  </si>
  <si>
    <t xml:space="preserve">Característica 43. </t>
  </si>
  <si>
    <t>Sistemas de comunicación e información</t>
  </si>
  <si>
    <t>Aspecto 43.1</t>
  </si>
  <si>
    <t>Presentación de estudios de satisfacción de profesores y estudiantes del programa acerca de la suficiencia y calidad de los recursos y sistemas de comunicación e información.</t>
  </si>
  <si>
    <t>Los estudiantes y docentes del Programa de Ingeniería de Sistemas manifestaron una alta satisfacción con la calidad y suficiencia de los recursos informativos y los sistemas de comunicación institucional. En Riohacha, el 83.6 % de los estudiantes ha utilizado materiales producidos por sus docentes, y más del 91 % calificó su calidad como excelente o muy buena. En Maicao, el 66.7 % reportó haber usado este tipo de material, y el 84.6 % lo valoró positivamente.
Los docentes también reportaron altos niveles de conformidad con los sistemas de información y comunicación institucional, destacando su utilidad para la gestión académica y el seguimiento a los procesos formativos. Como respuesta a estas apreciaciones, el programa ha fortalecido la producción de recursos propios y el uso de plataformas digitales como apoyo transversal a las funciones académicas.</t>
  </si>
  <si>
    <t>Aspecto 43.2</t>
  </si>
  <si>
    <t>Presentación de estadísticas y análisis del uso de los sistemas de comunicación e información, y de la  implementación de estrategias que garanticen la conectividad a los miembros de la comunidad académica del programa.</t>
  </si>
  <si>
    <t>Programa académico
Dirección de Sistemas</t>
  </si>
  <si>
    <t>Informacion de Direccion de sistemas</t>
  </si>
  <si>
    <t>La Universidad de La Guajira ha implementado diversos sistemas de información y plataformas digitales para apoyar las actividades académicas, administrativas y de investigación del Programa de Ingeniería de Sistemas. Entre ellos destacan el Sistema Académico Institucional (SMA), el Sistema de Gestión de Investigación, el sistema para la caracterización y seguimiento estudiantil, y herramientas de gestión documental que permiten la trazabilidad de procesos y el acceso a información académica.
En cuanto a conectividad, la institución dispone de una cobertura del 96 % de red Wi-Fi en el campus principal, soportada por más de 100 puntos de acceso (APs). Para el segundo semestre de 2024, el ancho de banda alcanzaba 3.072 MB, distribuidos entre todas las sedes: 2.048 MB para Riohacha y 500 MB para Maicao, lo cual ha permitido garantizar una navegación estable y continua en todos los espacios académicos.
En términos de uso, los registros institucionales muestran una alta apropiación por parte de la comunidad: entre 2020 y 2024 se reportaron más de 12.000 accesos estudiantiles y docentes a plataformas institucionales. Adicionalmente, todos los miembros del programa cuentan con cuentas institucionales de Google Workspace for Education Plus, lo que les permite acceso ilimitado a Google Classroom, Drive, Meet y otras herramientas colaborativas.</t>
  </si>
  <si>
    <t>Aspecto 43.3</t>
  </si>
  <si>
    <t>Evidencia de la aplicación de mecanismos de gestión documental, organización, actualización y seguridad de los registros y archivos académicos de estudiantes, profesores, personal directivo y administrativo.</t>
  </si>
  <si>
    <t>Secretaría General (Gestión documental)
Dirección de Sistemas
Admisiones y Registros</t>
  </si>
  <si>
    <t>La Universidad de La Guajira, a través del Programa de Ingeniería de Sistemas, implementa mecanismos institucionalizados de gestión documental que garantizan la organización, actualización y seguridad de los registros académicos y administrativos. Esta gestión se realiza con base en la Política Institucional de Gestión Documental, que sigue los lineamientos del Archivo General de la Nación y está integrada al Sistema Institucional de Gestión (SIG).
Los registros académicos de estudiantes, docentes y administrativos se gestionan principalmente a través del Sistema de Información Académico SMA, el cual permite almacenar y consultar historiales académicos, actas, calificaciones, planes de curso, asignación docente y demás información relevante. Paralelamente, el manejo de documentos físicos y digitales se organiza bajo criterios de trazabilidad, conservación y acceso seguro, mediante protocolos establecidos por el Archivo Central de la Universidad.</t>
  </si>
  <si>
    <t xml:space="preserve">Característica 44. </t>
  </si>
  <si>
    <t xml:space="preserve">Estudiantes y capacidad institucional </t>
  </si>
  <si>
    <t>Aspecto 44.1</t>
  </si>
  <si>
    <t>Presentación de estadísticas y análisis de las capacidades institucionales en materia de recursos humanos (planta docente y personal administrativo), técnicos, tecnológicos y financieros, que favorecen la permanencia, el desarrollo académico y la graduación de los estudiantes.</t>
  </si>
  <si>
    <t xml:space="preserve">Documental -Análisis </t>
  </si>
  <si>
    <t>Programa académico
Talento Humano
Vicerrectoría Académica
Bienestar Universitario
Vicerrectoría Administrariva y Financiera</t>
  </si>
  <si>
    <t>Informe de bienestar social universitario</t>
  </si>
  <si>
    <t>Entre los años 2019 y 2024, el Programa de Ingeniería de Sistemas ha contado con un respaldo institucional progresivo en materia de recursos humanos, técnicos, tecnológicos y financieros, orientado a fortalecer la permanencia y graduación estudiantil. Se han registrado más de 3.800 participaciones estudiantiles en estrategias de permanencia, incluyendo tutorías, mentorías, acompañamiento académico y promoción a la graduación. Además, 1.337 estudiantes se beneficiaron de apoyos socioeconómicos, como subsidios de alimentación, transporte y descuentos, lo cual evidencia un compromiso institucional para mitigar riesgos de deserción.
En términos de talento humano, el programa ha sostenido una planta docente que participa activamente en actividades de formación, bienestar y acompañamiento académico. Del mismo modo, desde el área de Bienestar Universitario, los servicios en salud, cultura, desarrollo humano y deporte han atendido a más de 10.000 estudiantes, impactando positivamente su bienestar integral.
A nivel financiero y tecnológico, la universidad ha incrementado la cobertura de conectividad, infraestructura digital y acceso a sistemas de información académica. Esta estructura institucional ha contribuido a la mejora de indicadores clave como la tasa de permanencia y la graduación acumulada, que pasó del 10.68 % al semestre 14 al 43.40 % al semestre 49, demostrando un avance sostenido en la formación profesional de los estudiantes.</t>
  </si>
  <si>
    <t>Aspecto 44.2</t>
  </si>
  <si>
    <t>Apreciación de profesores y estudiantes del programa con respecto a la correspondencia entre las capacidades institucionales en materia de sus recursos humanos, técnicos, tecnológicos y financieros, y el número de estudiantes matriculados, en cumplimiento del Proyecto Educativo del Programa, junto con las acciones emprendidas como resultado de dichas apreciaciones.</t>
  </si>
  <si>
    <t>Estudiantes y docentes del Programa de Ingeniería de Sistemas valoran positivamente la correspondencia entre los recursos institucionales disponibles y el número de estudiantes matriculados. En Maicao, alrededor del 90 % de los estudiantes y 89 % de los docentes considera que los recursos humanos, técnicos y tecnológicos son adecuados. En Riohacha, estas cifras ascienden al 92 % y 94 % respectivamente. La mayoría de los docentes calificó como “muy buena” o “excelente” la capacidad institucional para responder a las demandas del programa.</t>
  </si>
  <si>
    <t xml:space="preserve">Característica 45. </t>
  </si>
  <si>
    <t xml:space="preserve">Financiación del programa académico </t>
  </si>
  <si>
    <t>Aspecto 45.1</t>
  </si>
  <si>
    <t>Demostración de la consistencia entre la asignación y distribución presupuestal del programa, y el desarrollo de las actividades de docencia, investigación, creación artística y cultural, deportiva, proyección social, bienestar institucional e internacionalización, y la implementación de los planes de mejoramiento.</t>
  </si>
  <si>
    <t>Programa académico
Vicerrectoría Administrativa y financiera</t>
  </si>
  <si>
    <t xml:space="preserve">Ejecucion de Ingresos y gastos de Ingenieria de sistemas </t>
  </si>
  <si>
    <t>La información financiera del Programa de Ingeniería de Sistemas, sede Riohacha, entre 2020 y 2029, evidencia una distribución presupuestal consistente con las funciones misionales de docencia, investigación, extensión, bienestar, internacionalización e implementación de planes de mejoramiento. Entre 2020 y 2022, el presupuesto ejecutado ascendió de $2.321 millones a $4.481 millones, con incrementos en inversión en servicios personales, investigación (de $101 millones a $196 millones), bienestar ($69 millones a $133 millones), y extensión ($59 millones a $114 millones), reflejando una gestión orientada al fortalecimiento integral del programa.
En el periodo proyectado 2023–2029, el presupuesto crecerá de $9.077 millones en 2023 a $15.549 millones en 2029. Se observa un aumento progresivo en todas las áreas: docencia (servicios personales), investigación (de $397 millones a $681 millones), extensión (de $232 millones a $397 millones), capacitación docente (de $445 millones a $762 millones), bienestar (de $271 millones a $464 millones) e internacionalización (de $319 millones a $547 millones), lo que demuestra la priorización de estas funciones en la planificación financiera del programa.</t>
  </si>
  <si>
    <t>Aspecto 45.2</t>
  </si>
  <si>
    <t>Presentación de la proyección y la ejecución del presupuesto de inversión y de funcionamiento del programa y
los mecanismos de seguimiento y control.</t>
  </si>
  <si>
    <t>Vicerrectoría Administrativa y Financiera</t>
  </si>
  <si>
    <t xml:space="preserve">Proyeccion de Ingresos y gastos de Ingenieria de sistemas </t>
  </si>
  <si>
    <t>Entre los años 2020 y 2022, el Programa de Ingeniería de Sistemas ejecutó un presupuesto total que ascendió de $2.321 millones en 2020 a $4.481 millones en 2022, destinando recursos a funcionamiento e inversión en componentes clave como docencia, investigación, bienestar, internacionalización, extensión, material bibliográfico, capacitación docente e infraestructura. La ejecución reflejó un uso progresivo y coherente de los recursos, siendo los servicios personales y la inversión académica los rubros con mayor participación.
A partir de 2023, se proyecta un crecimiento significativo en el presupuesto, con un incremento que va desde $9.077 millones en 2023 hasta $15.549 millones en 2029, distribuidos en rubros estratégicos como investigación (creciendo de $397 a $681 millones), extensión (de $232 a $398 millones), y capacitación docente (de $445 a $763 millones), entre otros. Esta proyección respalda la implementación del Plan de Mejoramiento y la sostenibilidad académica del programa.
Los mecanismos de seguimiento y control presupuestal incluyen reportes de ejecución anual, registros contables institucionales, auditorías internas y externas, y la supervisión del área financiera y administrativa de la universidad, todo bajo los lineamientos del sistema de gestión institucional. Además, los recursos son controlados conforme al Estatuto Presupuestal y los informes se socializan periódicamente en el Consejo de Facultad.</t>
  </si>
  <si>
    <t xml:space="preserve">Característica 46. </t>
  </si>
  <si>
    <t>Aseguramiento de la calidad y mejora continua</t>
  </si>
  <si>
    <t>Aspecto 46.1</t>
  </si>
  <si>
    <t>Evidencia de la consolidación de un Sistema Interno de Aseguramiento de la Calidad que permita verificar, mediante unos procesos periódicos y participativos de autoevaluación, la alta calidad en cada uno de los factores y características del modelo del Consejo Nacional de Acreditación, en el programa.</t>
  </si>
  <si>
    <t>La Universidad de La Guajira ha consolidado su Sistema Interno de Aseguramiento de la Calidad (SIAC), liderado por la Dirección de Aseguramiento de la Calidad, adscrita a la Vicerrectoría de Calidad. Este sistema articula procesos de autoevaluación, autorregulación y mejoramiento continuo, alineados con los lineamientos del Consejo Nacional de Acreditación (CNA).
El Programa de Ingeniería de Sistemas ha implementado procesos periódicos y participativos de autoevaluación, que incluyen la recolección de información cuantitativa y cualitativa, la participación de la comunidad académica y la formulación de planes de mejoramiento. Estos procesos permiten verificar la calidad en cada uno de los factores y características del modelo del CNA.
La consolidación del SIAC en el programa se evidencia en la implementación de acciones de mejora, como la actualización de planes de estudio, el fortalecimiento de la planta docente, la mejora de la infraestructura tecnológica y la promoción de la investigación y la proyección social. Estas acciones han contribuido al fortalecimiento de la calidad académica y al cumplimiento de los estándares establecidos por el CNA.</t>
  </si>
  <si>
    <t>FACTOR 12. RECURSOS FÍSICOS Y TECNOLÓGICOS</t>
  </si>
  <si>
    <t xml:space="preserve">Característica 47. </t>
  </si>
  <si>
    <t>Recursos de infraestructura física y tecnológica</t>
  </si>
  <si>
    <t>Aspecto 47.1</t>
  </si>
  <si>
    <t>Demostración de la existencia de aulas, laboratorios, talleres, centros de simulación, plataformas tecnológicas, biblioteca y salas de estudio, para el cumplimiento de las labores formativas, académicas, docentes, científicas, culturales y de extensión, en coherencia con el nivel de formación y la modalidad de oferta del programa.</t>
  </si>
  <si>
    <t xml:space="preserve">Planeación 
SILAB
Dirección de Sistemas </t>
  </si>
  <si>
    <t>Informe de planeacion y direccion de sistemas</t>
  </si>
  <si>
    <t>El Programa de Ingeniería de Sistemas cuenta con una infraestructura robusta y adecuada para el desarrollo de las actividades académicas, investigativas y de extensión. En el bloque 6 se ubican 35 aulas y 6 salones múltiples, destinados a clases, encuentros académicos, y eventos extracurriculares. Los docentes disponen de cubículos para la atención estudiantil y la planificación académica.
En el bloque VIII – Tecnológico, con una capacidad para 1.163 estudiantes, se encuentran 22 salas de informática, con entre 20 y 40 puestos, y 8 salas audiovisuales con capacidad para 56 y 62 personas. Estas salas son utilizadas por diversas facultades, pero un 50 % del uso corresponde a las ingenierías, lo cual evidencia su relevancia en la formación técnica del programa
.
La universidad también cuenta con una red de conectividad del 96 % en la sede principal, soportada por más de 100 puntos de acceso Wi-Fi y un ancho de banda institucional de 3.072 MB, con 2.048 MB asignados a la sede Riohacha. Esta capacidad respalda las plataformas digitales institucionales y garantiza acceso continuo a los recursos en red
.
En el componente tecnológico, el programa cuenta con 9 softwares especializados y 6 plataformas tecnológicas, que incluyen sistemas para programación, redes, bases de datos, inteligencia artificial y simulación. Además, toda la comunidad académica tiene acceso a Google Workspace for Education Plus, lo que permite el uso de herramientas colaborativas de alta capacidad como Google Meet, Drive, y Classroom.
La Biblioteca Universitaria “Nellit Abuchaibe Abuchaibe” apoya a los programas académicos mediante el préstamo de 5.968 libros físicos, acceso a 89.297 libros electrónicos, 83 bases de datos y 9 bibliotecas digitales, lo que garantiza la suficiencia bibliográfica para la docencia, la investigación y la extensión.
Este conjunto de aulas, laboratorios, salas tecnológicas, plataformas virtuales, biblioteca y conectividad configuran una infraestructura articulada y coherente con las exigencias del nivel profesional universitario en modalidad presencial, fortaleciendo así la calidad de la formación impartida en el Programa de Ingeniería de Sistemas.</t>
  </si>
  <si>
    <t>Aspecto 47.2</t>
  </si>
  <si>
    <t>Evidencia de planes y proyectos realizados o en ejecución, para la conservación, expansión, mejoras y mantenimiento de la planta física para el programa, de acuerdo con las normas técnicas respectivas y con el nivel de formación y la modalidad de oferta del programa.</t>
  </si>
  <si>
    <t xml:space="preserve">Planeación </t>
  </si>
  <si>
    <t>Informe de planeacion</t>
  </si>
  <si>
    <t>La Universidad de La Guajira ha desarrollado importantes planes y proyectos para garantizar la conservación, mantenimiento y expansión de su infraestructura física, en correspondencia con las necesidades del Programa de Ingeniería de Sistemas y los estándares establecidos para la educación superior de nivel profesional. La sede principal, ubicada en el municipio de Riohacha, dispone de una planta física total de 81.620 m², lo que garantiza un índice de 8.3 m² por estudiante registrado en 2021, cumpliendo con los criterios de espacio y confort requeridos.
En cuanto a espacios destinados al programa, se destacan el bloque VI (Facultad de Ingeniería) y el bloque VIII (sistemas), ambos con 5.586 m² distribuidos en 4 pisos cada uno, que albergan aulas, laboratorios, oficinas administrativas y zonas de atención estudiantil. Estas instalaciones son complementadas con el edificio de laboratorios de ciencias básicas, ingeniería civil, mecánica e industrial, y el sistema SILAB para prácticas experimentales, así como espacios deportivos, culturales, salas múltiples, biblioteca y cafeterías.
Dentro de los proyectos ejecutados y en ejecución se incluyen remodelaciones en laboratorios especializados, ampliaciones de espacios académicos, mejoras en infraestructura tecnológica (como conectividad Wi-Fi en el 96 % del campus) y mantenimiento continuo de aulas, mobiliario y equipos. Estas intervenciones responden a las necesidades identificadas en los planes de mejoramiento del programa y buscan garantizar ambientes adecuados para las actividades académicas, investigativas, culturales y de proyección social.</t>
  </si>
  <si>
    <t xml:space="preserve">Característica 48. </t>
  </si>
  <si>
    <t>Recursos informáticos y de comunicación</t>
  </si>
  <si>
    <t>Aspecto 48.1</t>
  </si>
  <si>
    <t xml:space="preserve">Programa académico
Dirección de Sistemas </t>
  </si>
  <si>
    <t>La Universidad de La Guajira, en correspondencia con los requerimientos del Programa de Ingeniería de Sistemas, ha desarrollado e implementado diversos planes y proyectos orientados a la conservación, expansión y modernización de su infraestructura física. La sede principal, ubicada en Riohacha, dispone de una planta física total de 81.620 m², con una interacción promedio de 8.3 m² por estudiante, distribuidos en bloques académicos, administrativos, laboratorios, espacios deportivos y culturales.
En particular, el programa se beneficia de los bloques VI y VIII, con 5.586 m² cada uno, donde se ubican aulas, salas TIC, oficinas, salas de reuniones, y laboratorios. Como parte del compromiso con el mejoramiento continuo, se ha priorizado la actualización de los laboratorios de redes en ambas sedes. En la sede Riohacha, el laboratorio fue dotado recientemente con switches, routers, cableado estructurado, racks, herramientas de diagnóstico y conectividad, mientras que en la sede Maicao se adecuó un laboratorio nuevo con equipos similares, garantizando condiciones equivalentes para el desarrollo de competencias técnicas en ambas regiones.</t>
  </si>
  <si>
    <t>Aspecto 48.2</t>
  </si>
  <si>
    <t>Apreciación de directivos, profesores y estudiantes del programa sobre la pertinencia, correspondencia y suficiencia de los recursos informáticos y de comunicación con que cuenta el programa.</t>
  </si>
  <si>
    <t>Con base en el análisis de las encuestas aplicadas a directivos, docentes y estudiantes de la sede Riohacha y Maicao del programa de Ingeniería de Sistemas, se puede evidenciar una percepción altamente positiva sobre la pertinencia, correspondencia y suficiencia de los recursos informáticos y de comunicación. En la sede Riohacha, el 95.60 % de los estudiantes manifiestan conocer que los docentes pueden producir material educativo y el 83.60 % ha utilizado dicho material, calificando su calidad como “Excelente” en un 50.72 % y su pertinencia como “Totalmente pertinente” en un 55.02 %
. En la sede Maicao, el 90.77 % de los estudiantes afirma conocer sobre esta producción y el 66.67 % lo ha utilizado, calificando su calidad como “Excelente” en un 43.85 % y su pertinencia como “Totalmente pertinente” en un 46.92 %.
Desde la perspectiva docente, los resultados también son alentadores. El 100 % de los profesores encuestados en ambas sedes afirma conocer el Estatuto Profesoral, y más del 90 % considera que los mecanismos de evaluación docente son coherentes con el nivel de formación y modalidad del programa. Además, más del 97 % manifiesta haber participado en actividades para el desarrollo integral ofrecidas por la Universidad</t>
  </si>
  <si>
    <t>Evidencia de la incidencia de las estrategias empleadas para el desarrollo de las competencias comunicativas en una segunda lengua y las interacciones de profesores y estudiantes con otras comunidades no hispanohablantes de acuerdo con el nivel de formación y modalidad del programa.</t>
  </si>
  <si>
    <t>Los resultados de las encuestas aplicadas a profesores, estudiantes y egresados del Programa de Ingeniería de Sistemas en las sedes de Riohacha y Maicao evidencian una percepción altamente favorable frente al impacto de la cooperación académica y científica. El 93% de los docentes considera que estas experiencias han contribuido de forma significativa a la actualización disciplinar, la proyección internacional y el fortalecimiento de la docencia y la investigación. Desde la perspectiva estudiantil, más del 90% manifestó que las actividades de movilidad, clases espejo, cursos y seminarios internacionales enriquecen su proceso formativo y amplían su visión global de la profesión.
Igualmente, los egresados valoran positivamente la incorporación de referentes internacionales en el currículo, así como las oportunidades de participación en proyectos cooperativos y redes académicas durante su formación. La comunidad académica reconoce que estas acciones han mejorado la calidad del programa, fortalecido los vínculos institucionales y aumentado la pertinencia y competitividad del perfil de egreso.</t>
  </si>
  <si>
    <t>Informe de estrategias Aplicadas del Centro de Lenguas</t>
  </si>
  <si>
    <t>El Programa de Ingeniería de Sistemas ha avanzado de manera significativa en la implementación de estrategias para el desarrollo de competencias comunicativas en una segunda lengua, en cumplimiento con la Política de Multilingüismo de la Universidad de La Guajira. A través de acciones como la inclusión de cinco niveles obligatorios de inglés en el plan de estudios, la oferta de cursos complementarios en inglés, francés y wayuunaiki, y el fortalecimiento de espacios extracurriculares (clubes de conversación, ferias lingüísticas, plataformas tecnológicas y laboratorios de inmersión), el programa ha promovido la formación multilingüe e intercultural de sus estudiantes, egresados y docentes.
Los diagnósticos aplicados semestralmente han permitido caracterizar los niveles de competencia y diseñar estrategias diferenciadas para cada estamento. A su vez, estas acciones han favorecido la participación en eventos internacionales, la movilidad y el uso de materiales en inglés en actividades académicas. Se destaca también la inclusión de criterios flexibles para la validación del español como segunda lengua para población indígena.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</si>
</sst>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9" x14ac:knownFonts="1">
    <font>
      <sz val="11"/>
      <color theme="1"/>
      <name val="Calibri"/>
      <scheme val="minor"/>
    </font>
    <font>
      <b/>
      <sz val="11"/>
      <color rgb="FF000000"/>
      <name val="Century Gothic"/>
      <family val="2"/>
    </font>
    <font>
      <sz val="11"/>
      <color theme="1"/>
      <name val="Century Gothic"/>
      <family val="2"/>
    </font>
    <font>
      <b/>
      <sz val="11"/>
      <color theme="1"/>
      <name val="Century Gothic"/>
      <family val="2"/>
    </font>
    <font>
      <sz val="11"/>
      <name val="Calibri"/>
      <family val="2"/>
    </font>
    <font>
      <i/>
      <sz val="11"/>
      <color theme="1"/>
      <name val="Century Gothic"/>
      <family val="2"/>
    </font>
    <font>
      <sz val="10"/>
      <color theme="1"/>
      <name val="Century Gothic"/>
      <family val="2"/>
    </font>
    <font>
      <sz val="11"/>
      <color theme="1"/>
      <name val="Calibri"/>
      <family val="2"/>
    </font>
    <font>
      <b/>
      <sz val="10"/>
      <color theme="1"/>
      <name val="Century Gothic"/>
      <family val="2"/>
    </font>
  </fonts>
  <fills count="7">
    <fill>
      <patternFill patternType="none"/>
    </fill>
    <fill>
      <patternFill patternType="gray125"/>
    </fill>
    <fill>
      <patternFill patternType="solid">
        <fgColor theme="0"/>
        <bgColor theme="0"/>
      </patternFill>
    </fill>
    <fill>
      <patternFill patternType="solid">
        <fgColor rgb="FF9CC2E5"/>
        <bgColor rgb="FF9CC2E5"/>
      </patternFill>
    </fill>
    <fill>
      <patternFill patternType="solid">
        <fgColor rgb="FFFEF2CB"/>
        <bgColor rgb="FFFEF2CB"/>
      </patternFill>
    </fill>
    <fill>
      <patternFill patternType="solid">
        <fgColor rgb="FFC5E0B3"/>
        <bgColor rgb="FFC5E0B3"/>
      </patternFill>
    </fill>
    <fill>
      <patternFill patternType="solid">
        <fgColor rgb="FFDEEAF6"/>
        <bgColor rgb="FFDEEAF6"/>
      </patternFill>
    </fill>
  </fills>
  <borders count="19">
    <border>
      <left/>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3">
    <xf numFmtId="0" fontId="0" fillId="0" borderId="0" xfId="0"/>
    <xf numFmtId="0" fontId="2" fillId="0" borderId="0" xfId="0" applyFont="1"/>
    <xf numFmtId="0" fontId="3" fillId="0" borderId="2" xfId="0" applyFont="1" applyBorder="1"/>
    <xf numFmtId="0" fontId="2" fillId="0" borderId="2" xfId="0" applyFont="1" applyBorder="1"/>
    <xf numFmtId="0" fontId="5" fillId="0" borderId="6" xfId="0" applyFont="1" applyBorder="1" applyAlignment="1">
      <alignment vertical="center"/>
    </xf>
    <xf numFmtId="0" fontId="5" fillId="0" borderId="6" xfId="0" applyFont="1" applyBorder="1" applyAlignment="1">
      <alignment horizontal="center" vertical="center"/>
    </xf>
    <xf numFmtId="0" fontId="2" fillId="0" borderId="0" xfId="0" applyFont="1" applyAlignment="1">
      <alignment vertical="center"/>
    </xf>
    <xf numFmtId="0" fontId="6" fillId="0" borderId="2" xfId="0" applyFont="1" applyBorder="1" applyAlignment="1">
      <alignment vertical="center"/>
    </xf>
    <xf numFmtId="0" fontId="6" fillId="0" borderId="2" xfId="0" applyFont="1" applyBorder="1" applyAlignment="1">
      <alignment horizontal="left" vertical="center" wrapText="1"/>
    </xf>
    <xf numFmtId="0" fontId="6" fillId="0" borderId="2" xfId="0" applyFont="1" applyBorder="1" applyAlignment="1">
      <alignment horizontal="center" vertical="center"/>
    </xf>
    <xf numFmtId="0" fontId="2" fillId="0" borderId="2" xfId="0" applyFont="1" applyBorder="1" applyAlignment="1">
      <alignment horizontal="center" vertical="center" wrapText="1"/>
    </xf>
    <xf numFmtId="0" fontId="2" fillId="0" borderId="2" xfId="0" applyFont="1" applyBorder="1" applyAlignment="1">
      <alignment horizontal="left" vertical="top" wrapText="1"/>
    </xf>
    <xf numFmtId="0" fontId="2" fillId="0" borderId="2" xfId="0" applyFont="1" applyBorder="1" applyAlignment="1">
      <alignment horizontal="center" vertical="center"/>
    </xf>
    <xf numFmtId="0" fontId="2" fillId="0" borderId="9" xfId="0"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horizontal="center" vertical="center"/>
    </xf>
    <xf numFmtId="0" fontId="6" fillId="0" borderId="2" xfId="0" applyFont="1" applyBorder="1" applyAlignment="1">
      <alignment vertical="center" wrapText="1"/>
    </xf>
    <xf numFmtId="0" fontId="6" fillId="0" borderId="2" xfId="0" applyFont="1" applyBorder="1" applyAlignment="1">
      <alignment horizontal="center" vertical="center" wrapText="1"/>
    </xf>
    <xf numFmtId="0" fontId="2" fillId="0" borderId="2" xfId="0" applyFont="1" applyBorder="1" applyAlignment="1">
      <alignment horizontal="left" vertical="center" wrapText="1"/>
    </xf>
    <xf numFmtId="0" fontId="6" fillId="2" borderId="2" xfId="0" applyFont="1" applyFill="1" applyBorder="1" applyAlignment="1">
      <alignment vertical="center"/>
    </xf>
    <xf numFmtId="0" fontId="6" fillId="2" borderId="2" xfId="0" applyFont="1" applyFill="1" applyBorder="1" applyAlignment="1">
      <alignment vertical="center" wrapText="1"/>
    </xf>
    <xf numFmtId="0" fontId="6" fillId="2" borderId="2" xfId="0" applyFont="1" applyFill="1" applyBorder="1" applyAlignment="1">
      <alignment horizontal="center" vertical="center"/>
    </xf>
    <xf numFmtId="0" fontId="2" fillId="2" borderId="2" xfId="0" applyFont="1" applyFill="1" applyBorder="1" applyAlignment="1">
      <alignment horizontal="left" vertical="top" wrapText="1"/>
    </xf>
    <xf numFmtId="0" fontId="2" fillId="2" borderId="2" xfId="0" applyFont="1" applyFill="1" applyBorder="1" applyAlignment="1">
      <alignment horizontal="center" vertical="center"/>
    </xf>
    <xf numFmtId="0" fontId="2" fillId="2" borderId="11" xfId="0" applyFont="1" applyFill="1" applyBorder="1"/>
    <xf numFmtId="164" fontId="2" fillId="0" borderId="0" xfId="0" applyNumberFormat="1" applyFont="1"/>
    <xf numFmtId="0" fontId="3" fillId="0" borderId="2" xfId="0" applyFont="1" applyBorder="1" applyAlignment="1">
      <alignment horizontal="left"/>
    </xf>
    <xf numFmtId="0" fontId="7" fillId="0" borderId="0" xfId="0" applyFont="1" applyAlignment="1">
      <alignment horizontal="left"/>
    </xf>
    <xf numFmtId="0" fontId="7" fillId="0" borderId="0" xfId="0" applyFont="1" applyAlignment="1">
      <alignment vertical="center"/>
    </xf>
    <xf numFmtId="0" fontId="6" fillId="3" borderId="2" xfId="0" applyFont="1" applyFill="1" applyBorder="1" applyAlignment="1">
      <alignment vertical="center"/>
    </xf>
    <xf numFmtId="0" fontId="6" fillId="3" borderId="2" xfId="0" applyFont="1" applyFill="1" applyBorder="1" applyAlignment="1">
      <alignment vertical="center" wrapText="1"/>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2" xfId="0" applyFont="1" applyFill="1" applyBorder="1" applyAlignment="1">
      <alignment horizontal="left" vertical="top" wrapText="1"/>
    </xf>
    <xf numFmtId="0" fontId="6" fillId="2" borderId="2" xfId="0" applyFont="1" applyFill="1" applyBorder="1" applyAlignment="1">
      <alignment horizontal="left" vertical="center" wrapText="1"/>
    </xf>
    <xf numFmtId="0" fontId="6" fillId="2" borderId="2" xfId="0" applyFont="1" applyFill="1" applyBorder="1" applyAlignment="1">
      <alignment horizontal="center" vertical="center" wrapText="1"/>
    </xf>
    <xf numFmtId="0" fontId="2" fillId="2" borderId="2" xfId="0" applyFont="1" applyFill="1" applyBorder="1" applyAlignment="1">
      <alignment horizontal="left" vertical="center" wrapText="1"/>
    </xf>
    <xf numFmtId="0" fontId="2" fillId="3" borderId="2" xfId="0" applyFont="1" applyFill="1" applyBorder="1" applyAlignment="1">
      <alignment horizontal="left" vertical="top" wrapText="1"/>
    </xf>
    <xf numFmtId="0" fontId="2" fillId="3" borderId="2" xfId="0" applyFont="1" applyFill="1" applyBorder="1" applyAlignment="1">
      <alignment horizontal="center" vertical="center"/>
    </xf>
    <xf numFmtId="0" fontId="2" fillId="3" borderId="2" xfId="0" applyFont="1" applyFill="1" applyBorder="1" applyAlignment="1">
      <alignment horizontal="left" vertical="center" wrapText="1"/>
    </xf>
    <xf numFmtId="0" fontId="2" fillId="0" borderId="0" xfId="0" applyFont="1" applyAlignment="1">
      <alignment horizontal="left" vertical="center" readingOrder="1"/>
    </xf>
    <xf numFmtId="0" fontId="3" fillId="0" borderId="2" xfId="0" applyFont="1" applyBorder="1" applyAlignment="1">
      <alignment horizontal="left" vertical="center" readingOrder="1"/>
    </xf>
    <xf numFmtId="0" fontId="5" fillId="0" borderId="2" xfId="0" applyFont="1" applyBorder="1" applyAlignment="1">
      <alignment horizontal="left" vertical="center" readingOrder="1"/>
    </xf>
    <xf numFmtId="0" fontId="5" fillId="0" borderId="2" xfId="0" applyFont="1" applyBorder="1" applyAlignment="1">
      <alignment horizontal="center" vertical="center" readingOrder="1"/>
    </xf>
    <xf numFmtId="0" fontId="6" fillId="0" borderId="2" xfId="0" applyFont="1" applyBorder="1" applyAlignment="1">
      <alignment horizontal="left" vertical="center" readingOrder="1"/>
    </xf>
    <xf numFmtId="0" fontId="6" fillId="0" borderId="2" xfId="0" applyFont="1" applyBorder="1" applyAlignment="1">
      <alignment horizontal="left" vertical="center" wrapText="1" readingOrder="1"/>
    </xf>
    <xf numFmtId="0" fontId="6" fillId="0" borderId="2" xfId="0" applyFont="1" applyBorder="1" applyAlignment="1">
      <alignment horizontal="center" vertical="center" readingOrder="1"/>
    </xf>
    <xf numFmtId="0" fontId="6" fillId="0" borderId="2" xfId="0" applyFont="1" applyBorder="1" applyAlignment="1">
      <alignment horizontal="center" vertical="center" wrapText="1" readingOrder="1"/>
    </xf>
    <xf numFmtId="0" fontId="2" fillId="0" borderId="2" xfId="0" applyFont="1" applyBorder="1" applyAlignment="1">
      <alignment horizontal="left" vertical="top" wrapText="1" readingOrder="1"/>
    </xf>
    <xf numFmtId="0" fontId="2" fillId="0" borderId="2" xfId="0" applyFont="1" applyBorder="1" applyAlignment="1">
      <alignment horizontal="center" vertical="center" readingOrder="1"/>
    </xf>
    <xf numFmtId="0" fontId="6" fillId="3" borderId="2" xfId="0" applyFont="1" applyFill="1" applyBorder="1" applyAlignment="1">
      <alignment horizontal="left" vertical="center" readingOrder="1"/>
    </xf>
    <xf numFmtId="0" fontId="6" fillId="3" borderId="2" xfId="0" applyFont="1" applyFill="1" applyBorder="1" applyAlignment="1">
      <alignment horizontal="left" vertical="center" wrapText="1" readingOrder="1"/>
    </xf>
    <xf numFmtId="0" fontId="2" fillId="3" borderId="2" xfId="0" applyFont="1" applyFill="1" applyBorder="1" applyAlignment="1">
      <alignment horizontal="left" vertical="top" wrapText="1" readingOrder="1"/>
    </xf>
    <xf numFmtId="0" fontId="2" fillId="3" borderId="2" xfId="0" applyFont="1" applyFill="1" applyBorder="1" applyAlignment="1">
      <alignment horizontal="center" vertical="center" readingOrder="1"/>
    </xf>
    <xf numFmtId="0" fontId="2" fillId="3" borderId="11" xfId="0" applyFont="1" applyFill="1" applyBorder="1" applyAlignment="1">
      <alignment horizontal="left" vertical="center" readingOrder="1"/>
    </xf>
    <xf numFmtId="0" fontId="5" fillId="0" borderId="6" xfId="0" applyFont="1" applyBorder="1" applyAlignment="1">
      <alignment horizontal="center" vertical="center" readingOrder="1"/>
    </xf>
    <xf numFmtId="0" fontId="5" fillId="0" borderId="6" xfId="0" applyFont="1" applyBorder="1" applyAlignment="1">
      <alignment horizontal="left" vertical="center" readingOrder="1"/>
    </xf>
    <xf numFmtId="0" fontId="2" fillId="0" borderId="2" xfId="0" applyFont="1" applyBorder="1" applyAlignment="1">
      <alignment horizontal="left" vertical="center" wrapText="1" readingOrder="1"/>
    </xf>
    <xf numFmtId="0" fontId="6" fillId="3" borderId="2" xfId="0" applyFont="1" applyFill="1" applyBorder="1" applyAlignment="1">
      <alignment horizontal="center" vertical="center" readingOrder="1"/>
    </xf>
    <xf numFmtId="0" fontId="2" fillId="0" borderId="2" xfId="0" applyFont="1" applyBorder="1" applyAlignment="1">
      <alignment horizontal="center" vertical="center" wrapText="1" readingOrder="1"/>
    </xf>
    <xf numFmtId="0" fontId="6" fillId="4" borderId="2" xfId="0" applyFont="1" applyFill="1" applyBorder="1" applyAlignment="1">
      <alignment horizontal="left" vertical="center" readingOrder="1"/>
    </xf>
    <xf numFmtId="0" fontId="6" fillId="4" borderId="2" xfId="0" applyFont="1" applyFill="1" applyBorder="1" applyAlignment="1">
      <alignment horizontal="left" vertical="center" wrapText="1" readingOrder="1"/>
    </xf>
    <xf numFmtId="0" fontId="6" fillId="4" borderId="2" xfId="0" applyFont="1" applyFill="1" applyBorder="1" applyAlignment="1">
      <alignment horizontal="center" vertical="center" readingOrder="1"/>
    </xf>
    <xf numFmtId="0" fontId="6" fillId="4" borderId="2" xfId="0" applyFont="1" applyFill="1" applyBorder="1" applyAlignment="1">
      <alignment horizontal="center" vertical="center" wrapText="1" readingOrder="1"/>
    </xf>
    <xf numFmtId="0" fontId="2" fillId="4" borderId="2" xfId="0" applyFont="1" applyFill="1" applyBorder="1" applyAlignment="1">
      <alignment horizontal="center" vertical="center" readingOrder="1"/>
    </xf>
    <xf numFmtId="0" fontId="2" fillId="4" borderId="2" xfId="0" applyFont="1" applyFill="1" applyBorder="1" applyAlignment="1">
      <alignment horizontal="left" vertical="top" wrapText="1" readingOrder="1"/>
    </xf>
    <xf numFmtId="0" fontId="2" fillId="4" borderId="11" xfId="0" applyFont="1" applyFill="1" applyBorder="1" applyAlignment="1">
      <alignment horizontal="left" vertical="center" readingOrder="1"/>
    </xf>
    <xf numFmtId="0" fontId="6" fillId="5" borderId="2" xfId="0" applyFont="1" applyFill="1" applyBorder="1" applyAlignment="1">
      <alignment horizontal="left" vertical="center" readingOrder="1"/>
    </xf>
    <xf numFmtId="0" fontId="6" fillId="5" borderId="2" xfId="0" applyFont="1" applyFill="1" applyBorder="1" applyAlignment="1">
      <alignment horizontal="left" vertical="center" wrapText="1" readingOrder="1"/>
    </xf>
    <xf numFmtId="0" fontId="6" fillId="5" borderId="2" xfId="0" applyFont="1" applyFill="1" applyBorder="1" applyAlignment="1">
      <alignment horizontal="center" vertical="center" readingOrder="1"/>
    </xf>
    <xf numFmtId="0" fontId="6" fillId="5" borderId="2" xfId="0" applyFont="1" applyFill="1" applyBorder="1" applyAlignment="1">
      <alignment horizontal="center" vertical="center" wrapText="1" readingOrder="1"/>
    </xf>
    <xf numFmtId="0" fontId="2" fillId="5" borderId="2" xfId="0" applyFont="1" applyFill="1" applyBorder="1" applyAlignment="1">
      <alignment horizontal="center" vertical="center" readingOrder="1"/>
    </xf>
    <xf numFmtId="0" fontId="2" fillId="5" borderId="2" xfId="0" applyFont="1" applyFill="1" applyBorder="1" applyAlignment="1">
      <alignment horizontal="left" vertical="center" wrapText="1" readingOrder="1"/>
    </xf>
    <xf numFmtId="0" fontId="2" fillId="5" borderId="11" xfId="0" applyFont="1" applyFill="1" applyBorder="1" applyAlignment="1">
      <alignment horizontal="left" vertical="center" readingOrder="1"/>
    </xf>
    <xf numFmtId="0" fontId="2" fillId="3" borderId="2" xfId="0" applyFont="1" applyFill="1" applyBorder="1" applyAlignment="1">
      <alignment horizontal="left" vertical="center" wrapText="1" readingOrder="1"/>
    </xf>
    <xf numFmtId="0" fontId="2" fillId="2" borderId="15" xfId="0" applyFont="1" applyFill="1" applyBorder="1" applyAlignment="1">
      <alignment horizontal="center" vertical="center" readingOrder="1"/>
    </xf>
    <xf numFmtId="0" fontId="2" fillId="2" borderId="2" xfId="0" applyFont="1" applyFill="1" applyBorder="1" applyAlignment="1">
      <alignment horizontal="center" vertical="center" readingOrder="1"/>
    </xf>
    <xf numFmtId="0" fontId="2" fillId="2" borderId="11" xfId="0" applyFont="1" applyFill="1" applyBorder="1" applyAlignment="1">
      <alignment horizontal="left" vertical="center" readingOrder="1"/>
    </xf>
    <xf numFmtId="0" fontId="3" fillId="0" borderId="6" xfId="0" applyFont="1" applyBorder="1"/>
    <xf numFmtId="0" fontId="5" fillId="0" borderId="2" xfId="0" applyFont="1" applyBorder="1"/>
    <xf numFmtId="0" fontId="5" fillId="0" borderId="2" xfId="0" applyFont="1" applyBorder="1" applyAlignment="1">
      <alignment horizontal="center"/>
    </xf>
    <xf numFmtId="0" fontId="6" fillId="0" borderId="2" xfId="0" applyFont="1" applyBorder="1" applyAlignment="1">
      <alignment wrapText="1"/>
    </xf>
    <xf numFmtId="0" fontId="6" fillId="0" borderId="2" xfId="0" applyFont="1" applyBorder="1" applyAlignment="1">
      <alignment horizontal="center"/>
    </xf>
    <xf numFmtId="0" fontId="6" fillId="0" borderId="2" xfId="0" applyFont="1" applyBorder="1" applyAlignment="1">
      <alignment horizontal="center" wrapText="1"/>
    </xf>
    <xf numFmtId="0" fontId="2" fillId="0" borderId="6" xfId="0" applyFont="1" applyBorder="1" applyAlignment="1">
      <alignment horizontal="center" vertical="center"/>
    </xf>
    <xf numFmtId="0" fontId="6" fillId="3" borderId="2" xfId="0" applyFont="1" applyFill="1" applyBorder="1" applyAlignment="1">
      <alignment vertical="top" wrapText="1"/>
    </xf>
    <xf numFmtId="0" fontId="2" fillId="3" borderId="16" xfId="0" applyFont="1" applyFill="1" applyBorder="1" applyAlignment="1">
      <alignment horizontal="center" vertical="center"/>
    </xf>
    <xf numFmtId="0" fontId="2" fillId="3" borderId="11" xfId="0" applyFont="1" applyFill="1" applyBorder="1"/>
    <xf numFmtId="0" fontId="7" fillId="2" borderId="11" xfId="0" applyFont="1" applyFill="1" applyBorder="1"/>
    <xf numFmtId="0" fontId="2" fillId="2" borderId="11" xfId="0" applyFont="1" applyFill="1" applyBorder="1" applyAlignment="1">
      <alignment horizontal="left"/>
    </xf>
    <xf numFmtId="0" fontId="7" fillId="2" borderId="11" xfId="0" applyFont="1" applyFill="1" applyBorder="1" applyAlignment="1">
      <alignment horizontal="left"/>
    </xf>
    <xf numFmtId="0" fontId="6" fillId="3" borderId="2" xfId="0" applyFont="1" applyFill="1" applyBorder="1" applyAlignment="1">
      <alignment wrapText="1"/>
    </xf>
    <xf numFmtId="0" fontId="2" fillId="3" borderId="2" xfId="0" applyFont="1" applyFill="1" applyBorder="1" applyAlignment="1">
      <alignment horizontal="center" vertical="center" wrapText="1"/>
    </xf>
    <xf numFmtId="0" fontId="6" fillId="2" borderId="2" xfId="0" applyFont="1" applyFill="1" applyBorder="1" applyAlignment="1">
      <alignment wrapText="1"/>
    </xf>
    <xf numFmtId="0" fontId="2" fillId="2" borderId="2" xfId="0" applyFont="1" applyFill="1" applyBorder="1" applyAlignment="1">
      <alignment horizontal="center" vertical="center" wrapText="1"/>
    </xf>
    <xf numFmtId="0" fontId="6" fillId="2" borderId="2" xfId="0" applyFont="1" applyFill="1" applyBorder="1" applyAlignment="1">
      <alignment vertical="top" wrapText="1"/>
    </xf>
    <xf numFmtId="0" fontId="2" fillId="2" borderId="11" xfId="0" applyFont="1" applyFill="1" applyBorder="1" applyAlignment="1">
      <alignment horizontal="left" vertical="center" wrapText="1"/>
    </xf>
    <xf numFmtId="0" fontId="6" fillId="0" borderId="2" xfId="0" applyFont="1" applyBorder="1" applyAlignment="1">
      <alignment vertical="top" wrapText="1"/>
    </xf>
    <xf numFmtId="0" fontId="3" fillId="0" borderId="6" xfId="0" applyFont="1" applyBorder="1" applyAlignment="1">
      <alignment horizontal="left" vertical="center"/>
    </xf>
    <xf numFmtId="0" fontId="2" fillId="0" borderId="0" xfId="0" applyFont="1" applyAlignment="1">
      <alignment horizontal="left" vertical="center"/>
    </xf>
    <xf numFmtId="0" fontId="2" fillId="0" borderId="0" xfId="0" applyFont="1" applyAlignment="1">
      <alignment horizontal="left" vertical="center" wrapText="1"/>
    </xf>
    <xf numFmtId="0" fontId="6" fillId="0" borderId="9" xfId="0" applyFont="1" applyBorder="1" applyAlignment="1">
      <alignment horizontal="left" vertical="center" wrapText="1"/>
    </xf>
    <xf numFmtId="0" fontId="6" fillId="0" borderId="9" xfId="0" applyFont="1" applyBorder="1" applyAlignment="1">
      <alignment horizontal="center" vertical="center" wrapText="1"/>
    </xf>
    <xf numFmtId="0" fontId="2" fillId="0" borderId="9" xfId="0" applyFont="1" applyBorder="1" applyAlignment="1">
      <alignment horizontal="left" vertical="center" wrapText="1"/>
    </xf>
    <xf numFmtId="0" fontId="2" fillId="0" borderId="9" xfId="0" applyFont="1" applyBorder="1" applyAlignment="1">
      <alignment horizontal="left" vertical="top" wrapText="1"/>
    </xf>
    <xf numFmtId="0" fontId="3" fillId="0" borderId="2" xfId="0" applyFont="1" applyBorder="1" applyAlignment="1">
      <alignment horizontal="left" vertical="center"/>
    </xf>
    <xf numFmtId="0" fontId="6" fillId="0" borderId="0" xfId="0" applyFont="1" applyAlignment="1">
      <alignment horizontal="center" vertical="center" wrapText="1"/>
    </xf>
    <xf numFmtId="0" fontId="6" fillId="0" borderId="0" xfId="0" applyFont="1" applyAlignment="1">
      <alignment vertical="center"/>
    </xf>
    <xf numFmtId="0" fontId="6" fillId="0" borderId="0" xfId="0" applyFont="1" applyAlignment="1">
      <alignment vertical="top" wrapText="1"/>
    </xf>
    <xf numFmtId="0" fontId="6" fillId="0" borderId="0" xfId="0" applyFont="1" applyAlignment="1">
      <alignment horizontal="center" vertical="center"/>
    </xf>
    <xf numFmtId="0" fontId="3" fillId="0" borderId="6" xfId="0" applyFont="1" applyBorder="1" applyAlignment="1">
      <alignment horizontal="left"/>
    </xf>
    <xf numFmtId="0" fontId="2" fillId="0" borderId="0" xfId="0" applyFont="1" applyAlignment="1">
      <alignment horizontal="left"/>
    </xf>
    <xf numFmtId="0" fontId="6" fillId="3" borderId="15" xfId="0" applyFont="1" applyFill="1" applyBorder="1" applyAlignment="1">
      <alignment vertical="center"/>
    </xf>
    <xf numFmtId="0" fontId="6" fillId="3" borderId="15" xfId="0" applyFont="1" applyFill="1" applyBorder="1" applyAlignment="1">
      <alignment vertical="center" wrapText="1"/>
    </xf>
    <xf numFmtId="0" fontId="3" fillId="0" borderId="2" xfId="0" applyFont="1" applyBorder="1" applyAlignment="1">
      <alignment vertical="center"/>
    </xf>
    <xf numFmtId="0" fontId="6" fillId="0" borderId="6" xfId="0" applyFont="1" applyBorder="1" applyAlignment="1">
      <alignment vertical="center"/>
    </xf>
    <xf numFmtId="0" fontId="6" fillId="0" borderId="6" xfId="0" applyFont="1" applyBorder="1" applyAlignment="1">
      <alignment vertical="center" wrapText="1"/>
    </xf>
    <xf numFmtId="0" fontId="6" fillId="0" borderId="6" xfId="0" applyFont="1" applyBorder="1" applyAlignment="1">
      <alignment horizontal="center" vertical="center" wrapText="1"/>
    </xf>
    <xf numFmtId="0" fontId="2" fillId="0" borderId="3" xfId="0" applyFont="1" applyBorder="1" applyAlignment="1">
      <alignment horizontal="center" vertical="center"/>
    </xf>
    <xf numFmtId="0" fontId="6" fillId="0" borderId="0" xfId="0" applyFont="1" applyAlignment="1">
      <alignment wrapText="1"/>
    </xf>
    <xf numFmtId="0" fontId="3" fillId="0" borderId="0" xfId="0" applyFont="1"/>
    <xf numFmtId="0" fontId="3" fillId="0" borderId="0" xfId="0" applyFont="1" applyAlignment="1">
      <alignment horizontal="center"/>
    </xf>
    <xf numFmtId="0" fontId="5" fillId="0" borderId="0" xfId="0" applyFont="1"/>
    <xf numFmtId="0" fontId="5" fillId="0" borderId="0" xfId="0" applyFont="1" applyAlignment="1">
      <alignment horizontal="center"/>
    </xf>
    <xf numFmtId="0" fontId="6" fillId="2" borderId="11" xfId="0" applyFont="1" applyFill="1" applyBorder="1" applyAlignment="1">
      <alignment vertical="top" wrapText="1"/>
    </xf>
    <xf numFmtId="0" fontId="6" fillId="2" borderId="11" xfId="0" applyFont="1" applyFill="1" applyBorder="1" applyAlignment="1">
      <alignment horizontal="center"/>
    </xf>
    <xf numFmtId="0" fontId="6" fillId="3" borderId="11" xfId="0" applyFont="1" applyFill="1" applyBorder="1" applyAlignment="1">
      <alignment vertical="center"/>
    </xf>
    <xf numFmtId="0" fontId="6" fillId="3" borderId="11" xfId="0" applyFont="1" applyFill="1" applyBorder="1" applyAlignment="1">
      <alignment vertical="top" wrapText="1"/>
    </xf>
    <xf numFmtId="0" fontId="6" fillId="3" borderId="15" xfId="0" applyFont="1" applyFill="1" applyBorder="1" applyAlignment="1">
      <alignment vertical="top" wrapText="1"/>
    </xf>
    <xf numFmtId="0" fontId="6" fillId="6" borderId="2" xfId="0" applyFont="1" applyFill="1" applyBorder="1" applyAlignment="1">
      <alignment vertical="center"/>
    </xf>
    <xf numFmtId="0" fontId="6" fillId="6" borderId="2" xfId="0" applyFont="1" applyFill="1" applyBorder="1" applyAlignment="1">
      <alignment vertical="top" wrapText="1"/>
    </xf>
    <xf numFmtId="0" fontId="6" fillId="6" borderId="2" xfId="0" applyFont="1" applyFill="1" applyBorder="1" applyAlignment="1">
      <alignment horizontal="center" vertical="center" wrapText="1"/>
    </xf>
    <xf numFmtId="0" fontId="2" fillId="6" borderId="2" xfId="0" applyFont="1" applyFill="1" applyBorder="1" applyAlignment="1">
      <alignment horizontal="left" vertical="center" wrapText="1"/>
    </xf>
    <xf numFmtId="0" fontId="2" fillId="6" borderId="2" xfId="0" applyFont="1" applyFill="1" applyBorder="1" applyAlignment="1">
      <alignment horizontal="left" vertical="top" wrapText="1"/>
    </xf>
    <xf numFmtId="0" fontId="2" fillId="6" borderId="2" xfId="0" applyFont="1" applyFill="1" applyBorder="1" applyAlignment="1">
      <alignment horizontal="center" vertical="center"/>
    </xf>
    <xf numFmtId="0" fontId="6" fillId="3" borderId="2" xfId="0" applyFont="1" applyFill="1" applyBorder="1" applyAlignment="1">
      <alignment horizontal="left" vertical="center" wrapText="1"/>
    </xf>
    <xf numFmtId="0" fontId="2" fillId="0" borderId="0" xfId="0" applyFont="1" applyAlignment="1">
      <alignment vertical="top"/>
    </xf>
    <xf numFmtId="0" fontId="2" fillId="0" borderId="0" xfId="0" applyFont="1" applyAlignment="1">
      <alignment horizontal="left" vertical="top" wrapText="1"/>
    </xf>
    <xf numFmtId="0" fontId="5" fillId="0" borderId="6" xfId="0" applyFont="1" applyBorder="1" applyAlignment="1">
      <alignment horizontal="center"/>
    </xf>
    <xf numFmtId="0" fontId="5" fillId="0" borderId="6" xfId="0" applyFont="1" applyBorder="1"/>
    <xf numFmtId="0" fontId="6" fillId="2" borderId="2" xfId="0" applyFont="1" applyFill="1" applyBorder="1" applyAlignment="1">
      <alignment horizontal="center" wrapText="1"/>
    </xf>
    <xf numFmtId="0" fontId="6" fillId="2" borderId="2" xfId="0" applyFont="1" applyFill="1" applyBorder="1" applyAlignment="1">
      <alignment horizontal="center"/>
    </xf>
    <xf numFmtId="0" fontId="6" fillId="0" borderId="2" xfId="0" applyFont="1" applyBorder="1" applyAlignment="1">
      <alignment horizontal="left" vertical="center"/>
    </xf>
    <xf numFmtId="0" fontId="2" fillId="0" borderId="0" xfId="0" applyFont="1" applyAlignment="1">
      <alignment horizontal="center" vertical="center"/>
    </xf>
    <xf numFmtId="0" fontId="6" fillId="0" borderId="2" xfId="0" applyFont="1" applyBorder="1"/>
    <xf numFmtId="0" fontId="6" fillId="0" borderId="0" xfId="0" applyFont="1" applyAlignment="1">
      <alignment vertical="top"/>
    </xf>
    <xf numFmtId="0" fontId="2" fillId="0" borderId="9" xfId="0" applyFont="1" applyBorder="1" applyAlignment="1">
      <alignment horizontal="center" vertical="center"/>
    </xf>
    <xf numFmtId="0" fontId="4" fillId="0" borderId="10" xfId="0" applyFont="1" applyBorder="1"/>
    <xf numFmtId="0" fontId="4" fillId="0" borderId="6" xfId="0" applyFont="1" applyBorder="1"/>
    <xf numFmtId="0" fontId="1" fillId="0" borderId="1" xfId="0" applyFont="1" applyBorder="1" applyAlignment="1">
      <alignment horizontal="center" vertical="center" readingOrder="1"/>
    </xf>
    <xf numFmtId="0" fontId="0" fillId="0" borderId="0" xfId="0"/>
    <xf numFmtId="0" fontId="3" fillId="0" borderId="3" xfId="0" applyFont="1" applyBorder="1" applyAlignment="1">
      <alignment horizontal="center"/>
    </xf>
    <xf numFmtId="0" fontId="4" fillId="0" borderId="4" xfId="0" applyFont="1" applyBorder="1"/>
    <xf numFmtId="0" fontId="4" fillId="0" borderId="5" xfId="0" applyFont="1" applyBorder="1"/>
    <xf numFmtId="0" fontId="5" fillId="0" borderId="7" xfId="0" applyFont="1" applyBorder="1" applyAlignment="1">
      <alignment horizontal="center" vertical="center"/>
    </xf>
    <xf numFmtId="0" fontId="4" fillId="0" borderId="8" xfId="0" applyFont="1" applyBorder="1"/>
    <xf numFmtId="0" fontId="5" fillId="0" borderId="3" xfId="0" applyFont="1" applyBorder="1" applyAlignment="1">
      <alignment horizontal="center" vertical="center"/>
    </xf>
    <xf numFmtId="0" fontId="3" fillId="0" borderId="7" xfId="0" applyFont="1" applyBorder="1" applyAlignment="1">
      <alignment horizontal="center"/>
    </xf>
    <xf numFmtId="0" fontId="4" fillId="0" borderId="12" xfId="0" applyFont="1" applyBorder="1"/>
    <xf numFmtId="0" fontId="3" fillId="0" borderId="13" xfId="0" applyFont="1" applyBorder="1" applyAlignment="1">
      <alignment horizontal="center"/>
    </xf>
    <xf numFmtId="0" fontId="4" fillId="0" borderId="14" xfId="0" applyFont="1" applyBorder="1"/>
    <xf numFmtId="0" fontId="2" fillId="0" borderId="10" xfId="0" applyFont="1" applyBorder="1" applyAlignment="1">
      <alignment horizontal="center" vertical="center"/>
    </xf>
    <xf numFmtId="0" fontId="3" fillId="0" borderId="13" xfId="0" applyFont="1" applyBorder="1" applyAlignment="1">
      <alignment horizontal="center" vertical="center"/>
    </xf>
    <xf numFmtId="0" fontId="1" fillId="0" borderId="7" xfId="0" applyFont="1" applyBorder="1" applyAlignment="1">
      <alignment horizontal="center" vertical="center" readingOrder="1"/>
    </xf>
    <xf numFmtId="0" fontId="3" fillId="0" borderId="3" xfId="0" applyFont="1" applyBorder="1" applyAlignment="1">
      <alignment horizontal="center" vertical="center" readingOrder="1"/>
    </xf>
    <xf numFmtId="0" fontId="5" fillId="0" borderId="3" xfId="0" applyFont="1" applyBorder="1" applyAlignment="1">
      <alignment horizontal="center" vertical="center" readingOrder="1"/>
    </xf>
    <xf numFmtId="1" fontId="2" fillId="0" borderId="9" xfId="0" applyNumberFormat="1" applyFont="1" applyBorder="1" applyAlignment="1">
      <alignment horizontal="center" vertical="center" readingOrder="1"/>
    </xf>
    <xf numFmtId="165" fontId="2" fillId="0" borderId="9" xfId="0" applyNumberFormat="1" applyFont="1" applyBorder="1" applyAlignment="1">
      <alignment horizontal="center" vertical="center" readingOrder="1"/>
    </xf>
    <xf numFmtId="0" fontId="2" fillId="0" borderId="9" xfId="0" applyFont="1" applyBorder="1" applyAlignment="1">
      <alignment horizontal="center" vertical="center" readingOrder="1"/>
    </xf>
    <xf numFmtId="0" fontId="5" fillId="0" borderId="3" xfId="0" applyFont="1" applyBorder="1" applyAlignment="1">
      <alignment horizontal="left" vertical="center" readingOrder="1"/>
    </xf>
    <xf numFmtId="0" fontId="2" fillId="0" borderId="3" xfId="0" applyFont="1" applyBorder="1" applyAlignment="1">
      <alignment horizontal="center"/>
    </xf>
    <xf numFmtId="0" fontId="5" fillId="0" borderId="3" xfId="0" applyFont="1" applyBorder="1" applyAlignment="1">
      <alignment horizontal="center"/>
    </xf>
    <xf numFmtId="0" fontId="1" fillId="0" borderId="3" xfId="0" applyFont="1" applyBorder="1" applyAlignment="1">
      <alignment horizontal="left" vertical="center" readingOrder="1"/>
    </xf>
    <xf numFmtId="0" fontId="3" fillId="0" borderId="3" xfId="0" applyFont="1" applyBorder="1" applyAlignment="1">
      <alignment horizontal="left"/>
    </xf>
    <xf numFmtId="0" fontId="1" fillId="0" borderId="3" xfId="0" applyFont="1" applyBorder="1" applyAlignment="1">
      <alignment horizontal="center" vertical="center" readingOrder="1"/>
    </xf>
    <xf numFmtId="0" fontId="3" fillId="0" borderId="3" xfId="0" applyFont="1" applyBorder="1" applyAlignment="1">
      <alignment horizontal="left" vertical="center"/>
    </xf>
    <xf numFmtId="0" fontId="3" fillId="0" borderId="3" xfId="0" applyFont="1" applyBorder="1" applyAlignment="1">
      <alignment horizontal="left" vertical="top" wrapText="1"/>
    </xf>
    <xf numFmtId="0" fontId="5" fillId="0" borderId="3" xfId="0" applyFont="1" applyBorder="1" applyAlignment="1">
      <alignment horizontal="center" readingOrder="1"/>
    </xf>
    <xf numFmtId="0" fontId="1" fillId="0" borderId="3" xfId="0" applyFont="1" applyBorder="1" applyAlignment="1">
      <alignment horizontal="left" vertical="center" wrapText="1" readingOrder="1"/>
    </xf>
    <xf numFmtId="0" fontId="3" fillId="0" borderId="0" xfId="0" applyFont="1" applyAlignment="1">
      <alignment horizontal="center"/>
    </xf>
    <xf numFmtId="0" fontId="2" fillId="0" borderId="17" xfId="0" applyFont="1" applyBorder="1" applyAlignment="1">
      <alignment horizontal="center" vertical="center"/>
    </xf>
    <xf numFmtId="0" fontId="1" fillId="0" borderId="3" xfId="0" applyFont="1" applyBorder="1" applyAlignment="1">
      <alignment horizontal="center" vertical="center" wrapText="1" readingOrder="1"/>
    </xf>
    <xf numFmtId="0" fontId="5" fillId="0" borderId="13" xfId="0" applyFont="1" applyBorder="1" applyAlignment="1">
      <alignment horizontal="center"/>
    </xf>
    <xf numFmtId="0" fontId="2" fillId="0" borderId="18" xfId="0" applyFont="1" applyBorder="1" applyAlignment="1">
      <alignment horizontal="center" vertical="center"/>
    </xf>
    <xf numFmtId="0" fontId="5" fillId="0" borderId="15" xfId="0" applyFont="1" applyBorder="1"/>
    <xf numFmtId="0" fontId="5" fillId="0" borderId="10" xfId="0" applyFont="1" applyBorder="1" applyAlignment="1">
      <alignment horizontal="center"/>
    </xf>
    <xf numFmtId="0" fontId="5" fillId="0" borderId="10" xfId="0" applyFont="1" applyBorder="1"/>
    <xf numFmtId="0" fontId="5" fillId="0" borderId="15" xfId="0" applyFont="1" applyBorder="1" applyAlignment="1">
      <alignment horizontal="center"/>
    </xf>
    <xf numFmtId="0" fontId="5" fillId="0" borderId="15" xfId="0" applyFont="1" applyBorder="1" applyAlignment="1">
      <alignment horizontal="center" vertical="center" readingOrder="1"/>
    </xf>
    <xf numFmtId="0" fontId="4" fillId="0" borderId="17" xfId="0" applyFont="1" applyBorder="1"/>
    <xf numFmtId="0" fontId="6" fillId="0" borderId="18" xfId="0" applyFont="1" applyBorder="1" applyAlignment="1">
      <alignment vertical="center"/>
    </xf>
    <xf numFmtId="0" fontId="6" fillId="0" borderId="18" xfId="0" applyFont="1" applyBorder="1" applyAlignment="1">
      <alignment vertical="center" wrapText="1"/>
    </xf>
    <xf numFmtId="0" fontId="2" fillId="0" borderId="18"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E1" zoomScale="70" zoomScaleNormal="70" workbookViewId="0">
      <selection activeCell="J13" sqref="J13"/>
    </sheetView>
  </sheetViews>
  <sheetFormatPr baseColWidth="10" defaultColWidth="14.44140625" defaultRowHeight="15" customHeight="1" x14ac:dyDescent="0.3"/>
  <cols>
    <col min="1" max="1" width="18.6640625" customWidth="1"/>
    <col min="2" max="2" width="106.6640625" customWidth="1"/>
    <col min="3" max="4" width="29.44140625" customWidth="1"/>
    <col min="5" max="6" width="46.6640625" customWidth="1"/>
    <col min="7" max="7" width="39.44140625" customWidth="1"/>
    <col min="8" max="8" width="29.33203125" customWidth="1"/>
    <col min="9" max="10" width="33.109375" customWidth="1"/>
    <col min="11" max="11" width="29" customWidth="1"/>
    <col min="12" max="26" width="11.44140625" customWidth="1"/>
  </cols>
  <sheetData>
    <row r="1" spans="1:26" ht="13.5" customHeight="1" x14ac:dyDescent="0.3">
      <c r="A1" s="149" t="s">
        <v>0</v>
      </c>
      <c r="B1" s="150"/>
      <c r="C1" s="150"/>
      <c r="D1" s="150"/>
      <c r="E1" s="150"/>
      <c r="F1" s="150"/>
      <c r="G1" s="150"/>
      <c r="H1" s="150"/>
      <c r="I1" s="150"/>
      <c r="J1" s="150"/>
      <c r="K1" s="150"/>
      <c r="L1" s="1"/>
      <c r="M1" s="1"/>
      <c r="N1" s="1"/>
      <c r="O1" s="1"/>
      <c r="P1" s="1"/>
      <c r="Q1" s="1"/>
      <c r="R1" s="1"/>
      <c r="S1" s="1"/>
      <c r="T1" s="1"/>
      <c r="U1" s="1"/>
      <c r="V1" s="1"/>
      <c r="W1" s="1"/>
      <c r="X1" s="1"/>
      <c r="Y1" s="1"/>
      <c r="Z1" s="1"/>
    </row>
    <row r="2" spans="1:26" ht="13.5" customHeight="1" x14ac:dyDescent="0.3">
      <c r="A2" s="2" t="s">
        <v>1</v>
      </c>
      <c r="B2" s="151" t="s">
        <v>2</v>
      </c>
      <c r="C2" s="152"/>
      <c r="D2" s="152"/>
      <c r="E2" s="152"/>
      <c r="F2" s="152"/>
      <c r="G2" s="152"/>
      <c r="H2" s="152"/>
      <c r="I2" s="152"/>
      <c r="J2" s="152"/>
      <c r="K2" s="153"/>
      <c r="L2" s="3"/>
      <c r="M2" s="3"/>
      <c r="N2" s="3"/>
      <c r="O2" s="3"/>
      <c r="P2" s="3"/>
      <c r="Q2" s="3"/>
      <c r="R2" s="3"/>
      <c r="S2" s="3"/>
      <c r="T2" s="3"/>
      <c r="U2" s="3"/>
      <c r="V2" s="3"/>
      <c r="W2" s="3"/>
      <c r="X2" s="3"/>
      <c r="Y2" s="3"/>
      <c r="Z2" s="3"/>
    </row>
    <row r="3" spans="1:26" ht="15" customHeight="1" x14ac:dyDescent="0.3">
      <c r="A3" s="4" t="s">
        <v>3</v>
      </c>
      <c r="B3" s="5" t="s">
        <v>4</v>
      </c>
      <c r="C3" s="5" t="s">
        <v>5</v>
      </c>
      <c r="D3" s="5" t="s">
        <v>6</v>
      </c>
      <c r="E3" s="5" t="s">
        <v>7</v>
      </c>
      <c r="F3" s="5" t="s">
        <v>8</v>
      </c>
      <c r="G3" s="5" t="s">
        <v>9</v>
      </c>
      <c r="H3" s="154" t="s">
        <v>10</v>
      </c>
      <c r="I3" s="155"/>
      <c r="J3" s="154" t="s">
        <v>11</v>
      </c>
      <c r="K3" s="155"/>
      <c r="L3" s="6"/>
      <c r="M3" s="6"/>
      <c r="N3" s="6"/>
      <c r="O3" s="6"/>
      <c r="P3" s="6"/>
      <c r="Q3" s="6"/>
      <c r="R3" s="6"/>
      <c r="S3" s="6"/>
      <c r="T3" s="6"/>
      <c r="U3" s="6"/>
      <c r="V3" s="6"/>
      <c r="W3" s="6"/>
      <c r="X3" s="6"/>
      <c r="Y3" s="6"/>
      <c r="Z3" s="6"/>
    </row>
    <row r="4" spans="1:26" ht="186.75" customHeight="1" x14ac:dyDescent="0.3">
      <c r="A4" s="7" t="s">
        <v>12</v>
      </c>
      <c r="B4" s="8" t="s">
        <v>13</v>
      </c>
      <c r="C4" s="9" t="s">
        <v>14</v>
      </c>
      <c r="D4" s="9" t="s">
        <v>15</v>
      </c>
      <c r="E4" s="10" t="s">
        <v>16</v>
      </c>
      <c r="F4" s="11" t="s">
        <v>17</v>
      </c>
      <c r="G4" s="12">
        <v>98</v>
      </c>
      <c r="H4" s="12" t="str">
        <f>IF(G4&lt;=30,"No se cumple",IF(G4&lt;=59,"Se cumple insatisfactoriamente",IF(G4&lt;=79,"Se cumple aceptablemente",IF(G4&lt;=89,"Se cumple en alto grado",IF(G4&gt;=90,"Se cumple plenamente","EROR")))))</f>
        <v>Se cumple plenamente</v>
      </c>
      <c r="I4" s="12" t="str">
        <f>IF(G4&lt;=59,"Debilidad",IF(G4&lt;=79,"Oportunidad",IF(G4&gt;=80,"Fortaleza","EROR")))</f>
        <v>Fortaleza</v>
      </c>
      <c r="J4" s="13">
        <f>G4</f>
        <v>98</v>
      </c>
      <c r="K4" s="13" t="str">
        <f>IF(J4&lt;=30,"No se cumple",IF(J4&lt;=59,"Se cumple insatisfactoriamente",IF(J4&lt;=79,"Se cumple aceptablemente",IF(J4&lt;=89,"Se cumple en alto grado",IF(J4&gt;=90,"Se cumple plenamente","EROR")))))</f>
        <v>Se cumple plenamente</v>
      </c>
      <c r="L4" s="1"/>
      <c r="M4" s="1"/>
      <c r="N4" s="1"/>
      <c r="O4" s="1"/>
      <c r="P4" s="1"/>
      <c r="Q4" s="1"/>
      <c r="R4" s="1"/>
      <c r="S4" s="1"/>
      <c r="T4" s="1"/>
      <c r="U4" s="1"/>
      <c r="V4" s="1"/>
      <c r="W4" s="1"/>
      <c r="X4" s="1"/>
      <c r="Y4" s="1"/>
      <c r="Z4" s="1"/>
    </row>
    <row r="5" spans="1:26" ht="15" customHeight="1" x14ac:dyDescent="0.3">
      <c r="A5" s="2" t="s">
        <v>18</v>
      </c>
      <c r="B5" s="151" t="s">
        <v>19</v>
      </c>
      <c r="C5" s="152"/>
      <c r="D5" s="152"/>
      <c r="E5" s="152"/>
      <c r="F5" s="152"/>
      <c r="G5" s="152"/>
      <c r="H5" s="152"/>
      <c r="I5" s="152"/>
      <c r="J5" s="152"/>
      <c r="K5" s="153"/>
      <c r="L5" s="1"/>
      <c r="M5" s="1"/>
      <c r="N5" s="1"/>
      <c r="O5" s="1"/>
      <c r="P5" s="1"/>
      <c r="Q5" s="1"/>
      <c r="R5" s="1"/>
      <c r="S5" s="1"/>
      <c r="T5" s="1"/>
      <c r="U5" s="1"/>
      <c r="V5" s="1"/>
      <c r="W5" s="1"/>
      <c r="X5" s="1"/>
      <c r="Y5" s="1"/>
      <c r="Z5" s="1"/>
    </row>
    <row r="6" spans="1:26" ht="13.5" customHeight="1" x14ac:dyDescent="0.3">
      <c r="A6" s="14" t="s">
        <v>3</v>
      </c>
      <c r="B6" s="15" t="s">
        <v>4</v>
      </c>
      <c r="C6" s="14" t="s">
        <v>5</v>
      </c>
      <c r="D6" s="14"/>
      <c r="E6" s="15" t="s">
        <v>7</v>
      </c>
      <c r="F6" s="15" t="s">
        <v>8</v>
      </c>
      <c r="G6" s="15" t="s">
        <v>9</v>
      </c>
      <c r="H6" s="156" t="s">
        <v>10</v>
      </c>
      <c r="I6" s="153"/>
      <c r="J6" s="156" t="s">
        <v>11</v>
      </c>
      <c r="K6" s="153"/>
      <c r="L6" s="6"/>
      <c r="M6" s="6"/>
      <c r="N6" s="6"/>
      <c r="O6" s="6"/>
      <c r="P6" s="6"/>
      <c r="Q6" s="6"/>
      <c r="R6" s="6"/>
      <c r="S6" s="6"/>
      <c r="T6" s="6"/>
      <c r="U6" s="6"/>
      <c r="V6" s="6"/>
      <c r="W6" s="6"/>
      <c r="X6" s="6"/>
      <c r="Y6" s="6"/>
      <c r="Z6" s="6"/>
    </row>
    <row r="7" spans="1:26" ht="139.5" customHeight="1" x14ac:dyDescent="0.3">
      <c r="A7" s="7" t="s">
        <v>20</v>
      </c>
      <c r="B7" s="16" t="s">
        <v>21</v>
      </c>
      <c r="C7" s="9" t="s">
        <v>14</v>
      </c>
      <c r="D7" s="9" t="s">
        <v>15</v>
      </c>
      <c r="E7" s="10" t="s">
        <v>22</v>
      </c>
      <c r="F7" s="11" t="s">
        <v>23</v>
      </c>
      <c r="G7" s="12">
        <v>95</v>
      </c>
      <c r="H7" s="12" t="str">
        <f t="shared" ref="H7:H9" si="0">IF(G7&lt;=30,"No se cumple",IF(G7&lt;=59,"Se cumple insatisfactoriamente",IF(G7&lt;=79,"Se cumple aceptablemente",IF(G7&lt;=89,"Se cumple en alto grado",IF(G7&gt;=90,"Se cumple plenamente","EROR")))))</f>
        <v>Se cumple plenamente</v>
      </c>
      <c r="I7" s="12" t="str">
        <f t="shared" ref="I7:I9" si="1">IF(G7&lt;=59,"Debilidad",IF(G7&lt;=79,"Oportunidad",IF(G7&gt;=80,"Fortaleza","EROR")))</f>
        <v>Fortaleza</v>
      </c>
      <c r="J7" s="146">
        <f>(G7+G8+G9)/3</f>
        <v>95</v>
      </c>
      <c r="K7" s="146" t="str">
        <f>IF(J7&lt;=30,"No se cumple",IF(J7&lt;=59,"Se cumple insatisfactoriamente",IF(J7&lt;=79,"Se cumple aceptablemente",IF(J7&lt;=89,"Se cumple en alto grado",IF(J7&gt;=90,"Se cumple plenamente","EROR")))))</f>
        <v>Se cumple plenamente</v>
      </c>
      <c r="L7" s="1"/>
      <c r="M7" s="1"/>
      <c r="N7" s="1"/>
      <c r="O7" s="1"/>
      <c r="P7" s="1"/>
      <c r="Q7" s="1"/>
      <c r="R7" s="1"/>
      <c r="S7" s="1"/>
      <c r="T7" s="1"/>
      <c r="U7" s="1"/>
      <c r="V7" s="1"/>
      <c r="W7" s="1"/>
      <c r="X7" s="1"/>
      <c r="Y7" s="1"/>
      <c r="Z7" s="1"/>
    </row>
    <row r="8" spans="1:26" ht="109.5" customHeight="1" x14ac:dyDescent="0.3">
      <c r="A8" s="7" t="s">
        <v>24</v>
      </c>
      <c r="B8" s="16" t="s">
        <v>25</v>
      </c>
      <c r="C8" s="9" t="s">
        <v>26</v>
      </c>
      <c r="D8" s="17" t="s">
        <v>27</v>
      </c>
      <c r="E8" s="18" t="s">
        <v>28</v>
      </c>
      <c r="F8" s="11" t="s">
        <v>29</v>
      </c>
      <c r="G8" s="12">
        <v>96</v>
      </c>
      <c r="H8" s="12" t="str">
        <f t="shared" si="0"/>
        <v>Se cumple plenamente</v>
      </c>
      <c r="I8" s="12" t="str">
        <f t="shared" si="1"/>
        <v>Fortaleza</v>
      </c>
      <c r="J8" s="147"/>
      <c r="K8" s="147"/>
      <c r="L8" s="1"/>
      <c r="M8" s="1"/>
      <c r="N8" s="1"/>
      <c r="O8" s="1"/>
      <c r="P8" s="1"/>
      <c r="Q8" s="1"/>
      <c r="R8" s="1"/>
      <c r="S8" s="1"/>
      <c r="T8" s="1"/>
      <c r="U8" s="1"/>
      <c r="V8" s="1"/>
      <c r="W8" s="1"/>
      <c r="X8" s="1"/>
      <c r="Y8" s="1"/>
      <c r="Z8" s="1"/>
    </row>
    <row r="9" spans="1:26" ht="106.5" customHeight="1" x14ac:dyDescent="0.3">
      <c r="A9" s="19" t="s">
        <v>30</v>
      </c>
      <c r="B9" s="20" t="s">
        <v>31</v>
      </c>
      <c r="C9" s="21" t="s">
        <v>32</v>
      </c>
      <c r="D9" s="17" t="s">
        <v>27</v>
      </c>
      <c r="E9" s="22" t="s">
        <v>33</v>
      </c>
      <c r="F9" s="22" t="s">
        <v>34</v>
      </c>
      <c r="G9" s="23">
        <v>94</v>
      </c>
      <c r="H9" s="23" t="str">
        <f t="shared" si="0"/>
        <v>Se cumple plenamente</v>
      </c>
      <c r="I9" s="23" t="str">
        <f t="shared" si="1"/>
        <v>Fortaleza</v>
      </c>
      <c r="J9" s="148"/>
      <c r="K9" s="148"/>
      <c r="L9" s="24"/>
      <c r="M9" s="24"/>
      <c r="N9" s="24"/>
      <c r="O9" s="24"/>
      <c r="P9" s="24"/>
      <c r="Q9" s="24"/>
      <c r="R9" s="24"/>
      <c r="S9" s="24"/>
      <c r="T9" s="24"/>
      <c r="U9" s="24"/>
      <c r="V9" s="24"/>
      <c r="W9" s="24"/>
      <c r="X9" s="24"/>
      <c r="Y9" s="24"/>
      <c r="Z9" s="24"/>
    </row>
    <row r="10" spans="1:26" ht="13.5" customHeight="1" x14ac:dyDescent="0.3">
      <c r="A10" s="1"/>
      <c r="B10" s="1"/>
      <c r="C10" s="1"/>
      <c r="D10" s="1"/>
      <c r="E10" s="1"/>
      <c r="F10" s="1"/>
      <c r="G10" s="1"/>
      <c r="H10" s="1"/>
      <c r="I10" s="1"/>
      <c r="J10" s="25"/>
      <c r="K10" s="1"/>
      <c r="L10" s="1"/>
      <c r="M10" s="1"/>
      <c r="N10" s="1"/>
      <c r="O10" s="1"/>
      <c r="P10" s="1"/>
      <c r="Q10" s="1"/>
      <c r="R10" s="1"/>
      <c r="S10" s="1"/>
      <c r="T10" s="1"/>
      <c r="U10" s="1"/>
      <c r="V10" s="1"/>
      <c r="W10" s="1"/>
      <c r="X10" s="1"/>
      <c r="Y10" s="1"/>
      <c r="Z10" s="1"/>
    </row>
    <row r="11" spans="1:26" ht="13.5" customHeight="1" x14ac:dyDescent="0.3">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3.5" customHeight="1" x14ac:dyDescent="0.3">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3.5" customHeight="1"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3.5" customHeight="1"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3.5" customHeight="1"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3.5" customHeight="1"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3.5" customHeight="1"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3.5" customHeight="1"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3.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3.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3.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3.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3.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9">
    <mergeCell ref="J7:J9"/>
    <mergeCell ref="K7:K9"/>
    <mergeCell ref="A1:K1"/>
    <mergeCell ref="B2:K2"/>
    <mergeCell ref="H3:I3"/>
    <mergeCell ref="J3:K3"/>
    <mergeCell ref="B5:K5"/>
    <mergeCell ref="H6:I6"/>
    <mergeCell ref="J6:K6"/>
  </mergeCells>
  <dataValidations count="1">
    <dataValidation type="decimal" allowBlank="1" showErrorMessage="1" sqref="G4 G7:G9" xr:uid="{00000000-0002-0000-0000-000000000000}">
      <formula1>0</formula1>
      <formula2>100</formula2>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13" zoomScale="53" zoomScaleNormal="25" workbookViewId="0">
      <selection activeCell="F7" sqref="F7"/>
    </sheetView>
  </sheetViews>
  <sheetFormatPr baseColWidth="10" defaultColWidth="14.44140625" defaultRowHeight="15" customHeight="1" x14ac:dyDescent="0.3"/>
  <cols>
    <col min="1" max="1" width="18.6640625" customWidth="1"/>
    <col min="2" max="2" width="106.6640625" customWidth="1"/>
    <col min="3" max="4" width="28.44140625" customWidth="1"/>
    <col min="5" max="5" width="37.44140625" customWidth="1"/>
    <col min="6" max="6" width="65.88671875" customWidth="1"/>
    <col min="7" max="7" width="38.33203125" customWidth="1"/>
    <col min="8" max="8" width="29.44140625" customWidth="1"/>
    <col min="9" max="10" width="29.109375" customWidth="1"/>
    <col min="11" max="11" width="25.6640625" customWidth="1"/>
  </cols>
  <sheetData>
    <row r="1" spans="1:26" ht="13.5" customHeight="1" x14ac:dyDescent="0.3">
      <c r="A1" s="149" t="s">
        <v>35</v>
      </c>
      <c r="B1" s="150"/>
      <c r="C1" s="150"/>
      <c r="D1" s="150"/>
      <c r="E1" s="150"/>
      <c r="F1" s="150"/>
      <c r="G1" s="150"/>
      <c r="H1" s="150"/>
      <c r="I1" s="150"/>
      <c r="J1" s="150"/>
      <c r="K1" s="150"/>
    </row>
    <row r="2" spans="1:26" ht="15" customHeight="1" x14ac:dyDescent="0.3">
      <c r="A2" s="26" t="s">
        <v>36</v>
      </c>
      <c r="B2" s="157" t="s">
        <v>37</v>
      </c>
      <c r="C2" s="158"/>
      <c r="D2" s="158"/>
      <c r="E2" s="158"/>
      <c r="F2" s="158"/>
      <c r="G2" s="158"/>
      <c r="H2" s="158"/>
      <c r="I2" s="158"/>
      <c r="J2" s="158"/>
      <c r="K2" s="158"/>
      <c r="L2" s="27"/>
      <c r="M2" s="27"/>
      <c r="N2" s="27"/>
      <c r="O2" s="27"/>
      <c r="P2" s="27"/>
      <c r="Q2" s="27"/>
      <c r="R2" s="27"/>
      <c r="S2" s="27"/>
      <c r="T2" s="27"/>
      <c r="U2" s="27"/>
      <c r="V2" s="27"/>
      <c r="W2" s="27"/>
      <c r="X2" s="27"/>
      <c r="Y2" s="27"/>
      <c r="Z2" s="27"/>
    </row>
    <row r="3" spans="1:26" ht="19.5" customHeight="1" x14ac:dyDescent="0.3">
      <c r="A3" s="14" t="s">
        <v>3</v>
      </c>
      <c r="B3" s="15" t="s">
        <v>4</v>
      </c>
      <c r="C3" s="14" t="s">
        <v>5</v>
      </c>
      <c r="D3" s="15" t="s">
        <v>6</v>
      </c>
      <c r="E3" s="15" t="s">
        <v>7</v>
      </c>
      <c r="F3" s="15" t="s">
        <v>8</v>
      </c>
      <c r="G3" s="15" t="s">
        <v>9</v>
      </c>
      <c r="H3" s="156" t="s">
        <v>10</v>
      </c>
      <c r="I3" s="153"/>
      <c r="J3" s="156" t="s">
        <v>11</v>
      </c>
      <c r="K3" s="153"/>
      <c r="L3" s="28"/>
      <c r="M3" s="28"/>
      <c r="N3" s="28"/>
      <c r="O3" s="28"/>
      <c r="P3" s="28"/>
      <c r="Q3" s="28"/>
      <c r="R3" s="28"/>
      <c r="S3" s="28"/>
      <c r="T3" s="28"/>
      <c r="U3" s="28"/>
      <c r="V3" s="28"/>
      <c r="W3" s="28"/>
      <c r="X3" s="28"/>
      <c r="Y3" s="28"/>
      <c r="Z3" s="28"/>
    </row>
    <row r="4" spans="1:26" ht="321.75" customHeight="1" x14ac:dyDescent="0.3">
      <c r="A4" s="29" t="s">
        <v>38</v>
      </c>
      <c r="B4" s="30" t="s">
        <v>39</v>
      </c>
      <c r="C4" s="31" t="s">
        <v>40</v>
      </c>
      <c r="D4" s="31" t="s">
        <v>41</v>
      </c>
      <c r="E4" s="32" t="s">
        <v>42</v>
      </c>
      <c r="F4" s="33" t="s">
        <v>43</v>
      </c>
      <c r="G4" s="31">
        <v>82</v>
      </c>
      <c r="H4" s="31" t="str">
        <f t="shared" ref="H4:H7" si="0">IF(G4&lt;=30,"No se cumple",IF(G4&lt;=59,"Se cumple insatisfactoriamente",IF(G4&lt;=79,"Se cumple aceptablemente",IF(G4&lt;=89,"Se cumple en alto grado",IF(G4&gt;=90,"Se cumple plenamente","EROR")))))</f>
        <v>Se cumple en alto grado</v>
      </c>
      <c r="I4" s="31" t="str">
        <f t="shared" ref="I4:I7" si="1">IF(G4&lt;=59,"Debilidad",IF(G4&lt;=79,"Oportunidad",IF(G4&gt;=80,"Fortaleza","EROR")))</f>
        <v>Fortaleza</v>
      </c>
      <c r="J4" s="146">
        <f>(G4+G5+G6+G7)/4</f>
        <v>88.75</v>
      </c>
      <c r="K4" s="146" t="str">
        <f>IF(J4&lt;=30,"No se cumple",IF(J4&lt;=59,"Se cumple insatisfactoriamente",IF(J4&lt;=79,"Se cumple aceptablemente",IF(J4&lt;=89,"Se cumple en alto grado",IF(J4&gt;=90,"Se cumple plenamente","EROR")))))</f>
        <v>Se cumple en alto grado</v>
      </c>
    </row>
    <row r="5" spans="1:26" ht="303.60000000000002" x14ac:dyDescent="0.3">
      <c r="A5" s="19" t="s">
        <v>44</v>
      </c>
      <c r="B5" s="34" t="s">
        <v>45</v>
      </c>
      <c r="C5" s="21" t="s">
        <v>14</v>
      </c>
      <c r="D5" s="35" t="s">
        <v>46</v>
      </c>
      <c r="E5" s="36" t="s">
        <v>47</v>
      </c>
      <c r="F5" s="22" t="s">
        <v>48</v>
      </c>
      <c r="G5" s="23">
        <v>94</v>
      </c>
      <c r="H5" s="23" t="str">
        <f t="shared" si="0"/>
        <v>Se cumple plenamente</v>
      </c>
      <c r="I5" s="23" t="str">
        <f t="shared" si="1"/>
        <v>Fortaleza</v>
      </c>
      <c r="J5" s="147"/>
      <c r="K5" s="147"/>
    </row>
    <row r="6" spans="1:26" ht="234.6" x14ac:dyDescent="0.3">
      <c r="A6" s="19" t="s">
        <v>49</v>
      </c>
      <c r="B6" s="34" t="s">
        <v>50</v>
      </c>
      <c r="C6" s="21" t="s">
        <v>14</v>
      </c>
      <c r="D6" s="35" t="s">
        <v>51</v>
      </c>
      <c r="E6" s="36" t="s">
        <v>52</v>
      </c>
      <c r="F6" s="22" t="s">
        <v>53</v>
      </c>
      <c r="G6" s="23">
        <v>89</v>
      </c>
      <c r="H6" s="23" t="str">
        <f t="shared" si="0"/>
        <v>Se cumple en alto grado</v>
      </c>
      <c r="I6" s="23" t="str">
        <f t="shared" si="1"/>
        <v>Fortaleza</v>
      </c>
      <c r="J6" s="147"/>
      <c r="K6" s="147"/>
    </row>
    <row r="7" spans="1:26" ht="320.25" customHeight="1" x14ac:dyDescent="0.3">
      <c r="A7" s="7" t="s">
        <v>54</v>
      </c>
      <c r="B7" s="8" t="s">
        <v>55</v>
      </c>
      <c r="C7" s="21" t="s">
        <v>14</v>
      </c>
      <c r="D7" s="35" t="s">
        <v>56</v>
      </c>
      <c r="E7" s="18" t="s">
        <v>57</v>
      </c>
      <c r="F7" s="11" t="s">
        <v>58</v>
      </c>
      <c r="G7" s="12">
        <v>90</v>
      </c>
      <c r="H7" s="12" t="str">
        <f t="shared" si="0"/>
        <v>Se cumple plenamente</v>
      </c>
      <c r="I7" s="12" t="str">
        <f t="shared" si="1"/>
        <v>Fortaleza</v>
      </c>
      <c r="J7" s="147"/>
      <c r="K7" s="147"/>
    </row>
    <row r="8" spans="1:26" ht="15" customHeight="1" x14ac:dyDescent="0.3">
      <c r="A8" s="26" t="s">
        <v>59</v>
      </c>
      <c r="B8" s="159" t="s">
        <v>60</v>
      </c>
      <c r="C8" s="160"/>
      <c r="D8" s="160"/>
      <c r="E8" s="160"/>
      <c r="F8" s="160"/>
      <c r="G8" s="160"/>
      <c r="H8" s="160"/>
      <c r="I8" s="160"/>
      <c r="J8" s="160"/>
      <c r="K8" s="160"/>
      <c r="L8" s="27"/>
      <c r="M8" s="27"/>
      <c r="N8" s="27"/>
      <c r="O8" s="27"/>
      <c r="P8" s="27"/>
      <c r="Q8" s="27"/>
      <c r="R8" s="27"/>
      <c r="S8" s="27"/>
      <c r="T8" s="27"/>
      <c r="U8" s="27"/>
      <c r="V8" s="27"/>
      <c r="W8" s="27"/>
      <c r="X8" s="27"/>
      <c r="Y8" s="27"/>
      <c r="Z8" s="27"/>
    </row>
    <row r="9" spans="1:26" ht="19.5" customHeight="1" x14ac:dyDescent="0.3">
      <c r="A9" s="14" t="s">
        <v>3</v>
      </c>
      <c r="B9" s="15" t="s">
        <v>4</v>
      </c>
      <c r="C9" s="14" t="s">
        <v>5</v>
      </c>
      <c r="D9" s="14"/>
      <c r="E9" s="15" t="s">
        <v>7</v>
      </c>
      <c r="F9" s="15" t="s">
        <v>8</v>
      </c>
      <c r="G9" s="15" t="s">
        <v>9</v>
      </c>
      <c r="H9" s="156" t="s">
        <v>10</v>
      </c>
      <c r="I9" s="153"/>
      <c r="J9" s="156" t="s">
        <v>11</v>
      </c>
      <c r="K9" s="153"/>
      <c r="L9" s="28"/>
      <c r="M9" s="28"/>
      <c r="N9" s="28"/>
      <c r="O9" s="28"/>
      <c r="P9" s="28"/>
      <c r="Q9" s="28"/>
      <c r="R9" s="28"/>
      <c r="S9" s="28"/>
      <c r="T9" s="28"/>
      <c r="U9" s="28"/>
      <c r="V9" s="28"/>
      <c r="W9" s="28"/>
      <c r="X9" s="28"/>
      <c r="Y9" s="28"/>
      <c r="Z9" s="28"/>
    </row>
    <row r="10" spans="1:26" ht="207" customHeight="1" x14ac:dyDescent="0.3">
      <c r="A10" s="7" t="s">
        <v>61</v>
      </c>
      <c r="B10" s="16" t="s">
        <v>62</v>
      </c>
      <c r="C10" s="9" t="s">
        <v>32</v>
      </c>
      <c r="D10" s="17" t="s">
        <v>63</v>
      </c>
      <c r="E10" s="10" t="s">
        <v>64</v>
      </c>
      <c r="F10" s="11" t="s">
        <v>65</v>
      </c>
      <c r="G10" s="12">
        <v>92</v>
      </c>
      <c r="H10" s="12" t="str">
        <f>IF(G10&lt;=30,"No se cumple",IF(G10&lt;=59,"Se cumple insatisfactoriamente",IF(G10&lt;=79,"Se cumple aceptablemente",IF(G10&lt;=89,"Se cumple en alto grado",IF(G10&gt;=90,"Se cumple plenamente","EROR")))))</f>
        <v>Se cumple plenamente</v>
      </c>
      <c r="I10" s="12" t="str">
        <f>IF(G10&lt;=59,"Debilidad",IF(G10&lt;=79,"Oportunidad",IF(G10&gt;=80,"Fortaleza","EROR")))</f>
        <v>Fortaleza</v>
      </c>
      <c r="J10" s="13">
        <f>(G10)/1</f>
        <v>92</v>
      </c>
      <c r="K10" s="13" t="str">
        <f>IF(J10&lt;=30,"No se cumple",IF(J10&lt;=59,"Se cumple insatisfactoriamente",IF(J10&lt;=79,"Se cumple aceptablemente",IF(J10&lt;=89,"Se cumple en alto grado",IF(J10&gt;=90,"Se cumple plenamente","EROR")))))</f>
        <v>Se cumple plenamente</v>
      </c>
    </row>
    <row r="11" spans="1:26" ht="15" customHeight="1" x14ac:dyDescent="0.3">
      <c r="A11" s="26" t="s">
        <v>66</v>
      </c>
      <c r="B11" s="162" t="s">
        <v>67</v>
      </c>
      <c r="C11" s="160"/>
      <c r="D11" s="160"/>
      <c r="E11" s="160"/>
      <c r="F11" s="160"/>
      <c r="G11" s="160"/>
      <c r="H11" s="160"/>
      <c r="I11" s="160"/>
      <c r="J11" s="160"/>
      <c r="K11" s="160"/>
      <c r="L11" s="27"/>
      <c r="M11" s="27"/>
      <c r="N11" s="27"/>
      <c r="O11" s="27"/>
      <c r="P11" s="27"/>
      <c r="Q11" s="27"/>
      <c r="R11" s="27"/>
      <c r="S11" s="27"/>
      <c r="T11" s="27"/>
      <c r="U11" s="27"/>
      <c r="V11" s="27"/>
      <c r="W11" s="27"/>
      <c r="X11" s="27"/>
      <c r="Y11" s="27"/>
      <c r="Z11" s="27"/>
    </row>
    <row r="12" spans="1:26" ht="19.5" customHeight="1" x14ac:dyDescent="0.3">
      <c r="A12" s="14" t="s">
        <v>3</v>
      </c>
      <c r="B12" s="15" t="s">
        <v>4</v>
      </c>
      <c r="C12" s="14" t="s">
        <v>5</v>
      </c>
      <c r="D12" s="14"/>
      <c r="E12" s="15" t="s">
        <v>7</v>
      </c>
      <c r="F12" s="15" t="s">
        <v>8</v>
      </c>
      <c r="G12" s="15" t="s">
        <v>9</v>
      </c>
      <c r="H12" s="156" t="s">
        <v>10</v>
      </c>
      <c r="I12" s="153"/>
      <c r="J12" s="156" t="s">
        <v>11</v>
      </c>
      <c r="K12" s="153"/>
      <c r="L12" s="28"/>
      <c r="M12" s="28"/>
      <c r="N12" s="28"/>
      <c r="O12" s="28"/>
      <c r="P12" s="28"/>
      <c r="Q12" s="28"/>
      <c r="R12" s="28"/>
      <c r="S12" s="28"/>
      <c r="T12" s="28"/>
      <c r="U12" s="28"/>
      <c r="V12" s="28"/>
      <c r="W12" s="28"/>
      <c r="X12" s="28"/>
      <c r="Y12" s="28"/>
      <c r="Z12" s="28"/>
    </row>
    <row r="13" spans="1:26" ht="92.25" customHeight="1" x14ac:dyDescent="0.3">
      <c r="A13" s="7" t="s">
        <v>68</v>
      </c>
      <c r="B13" s="16" t="s">
        <v>69</v>
      </c>
      <c r="C13" s="9" t="s">
        <v>32</v>
      </c>
      <c r="D13" s="17" t="s">
        <v>70</v>
      </c>
      <c r="E13" s="11" t="s">
        <v>71</v>
      </c>
      <c r="F13" s="11" t="s">
        <v>72</v>
      </c>
      <c r="G13" s="12">
        <v>93</v>
      </c>
      <c r="H13" s="12" t="str">
        <f>IF(G13&lt;=30,"No se cumple",IF(G13&lt;=59,"Se cumple insatisfactoriamente",IF(G13&lt;=79,"Se cumple aceptablemente",IF(G13&lt;=89,"Se cumple en alto grado",IF(G13&gt;=90,"Se cumple plenamente","EROR")))))</f>
        <v>Se cumple plenamente</v>
      </c>
      <c r="I13" s="12" t="str">
        <f>IF(G13&lt;=59,"Debilidad",IF(G13&lt;=79,"Oportunidad",IF(G13&gt;=80,"Fortaleza","EROR")))</f>
        <v>Fortaleza</v>
      </c>
      <c r="J13" s="13">
        <f>(G13)/1</f>
        <v>93</v>
      </c>
      <c r="K13" s="13" t="str">
        <f>IF(J13&lt;=30,"No se cumple",IF(J13&lt;=59,"Se cumple insatisfactoriamente",IF(J13&lt;=79,"Se cumple aceptablemente",IF(J13&lt;=89,"Se cumple en alto grado",IF(J13&gt;=90,"Se cumple plenamente","EROR")))))</f>
        <v>Se cumple plenamente</v>
      </c>
    </row>
    <row r="14" spans="1:26" ht="15" customHeight="1" x14ac:dyDescent="0.3">
      <c r="A14" s="26" t="s">
        <v>73</v>
      </c>
      <c r="B14" s="162" t="s">
        <v>74</v>
      </c>
      <c r="C14" s="160"/>
      <c r="D14" s="160"/>
      <c r="E14" s="160"/>
      <c r="F14" s="160"/>
      <c r="G14" s="160"/>
      <c r="H14" s="160"/>
      <c r="I14" s="160"/>
      <c r="J14" s="160"/>
      <c r="K14" s="160"/>
      <c r="L14" s="27"/>
      <c r="M14" s="27"/>
      <c r="N14" s="27"/>
      <c r="O14" s="27"/>
      <c r="P14" s="27"/>
      <c r="Q14" s="27"/>
      <c r="R14" s="27"/>
      <c r="S14" s="27"/>
      <c r="T14" s="27"/>
      <c r="U14" s="27"/>
      <c r="V14" s="27"/>
      <c r="W14" s="27"/>
      <c r="X14" s="27"/>
      <c r="Y14" s="27"/>
      <c r="Z14" s="27"/>
    </row>
    <row r="15" spans="1:26" ht="19.5" customHeight="1" x14ac:dyDescent="0.3">
      <c r="A15" s="14" t="s">
        <v>3</v>
      </c>
      <c r="B15" s="15" t="s">
        <v>4</v>
      </c>
      <c r="C15" s="14" t="s">
        <v>5</v>
      </c>
      <c r="D15" s="14"/>
      <c r="E15" s="15" t="s">
        <v>7</v>
      </c>
      <c r="F15" s="15" t="s">
        <v>8</v>
      </c>
      <c r="G15" s="15" t="s">
        <v>9</v>
      </c>
      <c r="H15" s="156" t="s">
        <v>10</v>
      </c>
      <c r="I15" s="153"/>
      <c r="J15" s="156" t="s">
        <v>11</v>
      </c>
      <c r="K15" s="153"/>
      <c r="L15" s="28"/>
      <c r="M15" s="28"/>
      <c r="N15" s="28"/>
      <c r="O15" s="28"/>
      <c r="P15" s="28"/>
      <c r="Q15" s="28"/>
      <c r="R15" s="28"/>
      <c r="S15" s="28"/>
      <c r="T15" s="28"/>
      <c r="U15" s="28"/>
      <c r="V15" s="28"/>
      <c r="W15" s="28"/>
      <c r="X15" s="28"/>
      <c r="Y15" s="28"/>
      <c r="Z15" s="28"/>
    </row>
    <row r="16" spans="1:26" ht="132" customHeight="1" x14ac:dyDescent="0.3">
      <c r="A16" s="29" t="s">
        <v>75</v>
      </c>
      <c r="B16" s="30" t="s">
        <v>76</v>
      </c>
      <c r="C16" s="31" t="s">
        <v>40</v>
      </c>
      <c r="D16" s="31" t="s">
        <v>41</v>
      </c>
      <c r="E16" s="32" t="s">
        <v>42</v>
      </c>
      <c r="F16" s="37" t="s">
        <v>77</v>
      </c>
      <c r="G16" s="38">
        <v>89</v>
      </c>
      <c r="H16" s="38" t="str">
        <f t="shared" ref="H16:H17" si="2">IF(G16&lt;=30,"No se cumple",IF(G16&lt;=59,"Se cumple insatisfactoriamente",IF(G16&lt;=79,"Se cumple aceptablemente",IF(G16&lt;=89,"Se cumple en alto grado",IF(G16&gt;=90,"Se cumple plenamente","EROR")))))</f>
        <v>Se cumple en alto grado</v>
      </c>
      <c r="I16" s="38" t="str">
        <f t="shared" ref="I16:I17" si="3">IF(G16&lt;=59,"Debilidad",IF(G16&lt;=79,"Oportunidad",IF(G16&gt;=80,"Fortaleza","EROR")))</f>
        <v>Fortaleza</v>
      </c>
      <c r="J16" s="161">
        <f>(G16+G17)/2</f>
        <v>94.5</v>
      </c>
      <c r="K16" s="161" t="str">
        <f>IF(J16&lt;=30,"No se cumple",IF(J16&lt;=59,"Se cumple insatisfactoriamente",IF(J16&lt;=79,"Se cumple aceptablemente",IF(J16&lt;=89,"Se cumple en alto grado",IF(J16&gt;=90,"Se cumple plenamente","EROR")))))</f>
        <v>Se cumple plenamente</v>
      </c>
    </row>
    <row r="17" spans="1:26" ht="130.5" customHeight="1" x14ac:dyDescent="0.3">
      <c r="A17" s="19" t="s">
        <v>78</v>
      </c>
      <c r="B17" s="16" t="s">
        <v>79</v>
      </c>
      <c r="C17" s="9" t="s">
        <v>80</v>
      </c>
      <c r="D17" s="17" t="s">
        <v>70</v>
      </c>
      <c r="E17" s="11" t="s">
        <v>81</v>
      </c>
      <c r="F17" s="11" t="s">
        <v>82</v>
      </c>
      <c r="G17" s="12">
        <v>100</v>
      </c>
      <c r="H17" s="12" t="str">
        <f t="shared" si="2"/>
        <v>Se cumple plenamente</v>
      </c>
      <c r="I17" s="12" t="str">
        <f t="shared" si="3"/>
        <v>Fortaleza</v>
      </c>
      <c r="J17" s="148"/>
      <c r="K17" s="148"/>
    </row>
    <row r="18" spans="1:26" ht="15" customHeight="1" x14ac:dyDescent="0.3">
      <c r="A18" s="26" t="s">
        <v>83</v>
      </c>
      <c r="B18" s="159" t="s">
        <v>84</v>
      </c>
      <c r="C18" s="160"/>
      <c r="D18" s="160"/>
      <c r="E18" s="160"/>
      <c r="F18" s="160"/>
      <c r="G18" s="160"/>
      <c r="H18" s="160"/>
      <c r="I18" s="160"/>
      <c r="J18" s="160"/>
      <c r="K18" s="160"/>
      <c r="L18" s="27"/>
      <c r="M18" s="27"/>
      <c r="N18" s="27"/>
      <c r="O18" s="27"/>
      <c r="P18" s="27"/>
      <c r="Q18" s="27"/>
      <c r="R18" s="27"/>
      <c r="S18" s="27"/>
      <c r="T18" s="27"/>
      <c r="U18" s="27"/>
      <c r="V18" s="27"/>
      <c r="W18" s="27"/>
      <c r="X18" s="27"/>
      <c r="Y18" s="27"/>
      <c r="Z18" s="27"/>
    </row>
    <row r="19" spans="1:26" ht="19.5" customHeight="1" x14ac:dyDescent="0.3">
      <c r="A19" s="14" t="s">
        <v>3</v>
      </c>
      <c r="B19" s="15" t="s">
        <v>4</v>
      </c>
      <c r="C19" s="14" t="s">
        <v>5</v>
      </c>
      <c r="D19" s="14"/>
      <c r="E19" s="15" t="s">
        <v>7</v>
      </c>
      <c r="F19" s="15" t="s">
        <v>8</v>
      </c>
      <c r="G19" s="15" t="s">
        <v>9</v>
      </c>
      <c r="H19" s="156" t="s">
        <v>10</v>
      </c>
      <c r="I19" s="153"/>
      <c r="J19" s="156" t="s">
        <v>11</v>
      </c>
      <c r="K19" s="153"/>
      <c r="L19" s="28"/>
      <c r="M19" s="28"/>
      <c r="N19" s="28"/>
      <c r="O19" s="28"/>
      <c r="P19" s="28"/>
      <c r="Q19" s="28"/>
      <c r="R19" s="28"/>
      <c r="S19" s="28"/>
      <c r="T19" s="28"/>
      <c r="U19" s="28"/>
      <c r="V19" s="28"/>
      <c r="W19" s="28"/>
      <c r="X19" s="28"/>
      <c r="Y19" s="28"/>
      <c r="Z19" s="28"/>
    </row>
    <row r="20" spans="1:26" ht="99.75" customHeight="1" x14ac:dyDescent="0.3">
      <c r="A20" s="7" t="s">
        <v>85</v>
      </c>
      <c r="B20" s="16" t="s">
        <v>86</v>
      </c>
      <c r="C20" s="9" t="s">
        <v>87</v>
      </c>
      <c r="D20" s="17" t="s">
        <v>88</v>
      </c>
      <c r="E20" s="18" t="s">
        <v>64</v>
      </c>
      <c r="F20" s="11" t="s">
        <v>89</v>
      </c>
      <c r="G20" s="12">
        <v>94</v>
      </c>
      <c r="H20" s="12" t="str">
        <f t="shared" ref="H20:H21" si="4">IF(G20&lt;=30,"No se cumple",IF(G20&lt;=59,"Se cumple insatisfactoriamente",IF(G20&lt;=79,"Se cumple aceptablemente",IF(G20&lt;=89,"Se cumple en alto grado",IF(G20&gt;=90,"Se cumple plenamente","EROR")))))</f>
        <v>Se cumple plenamente</v>
      </c>
      <c r="I20" s="12" t="str">
        <f t="shared" ref="I20:I21" si="5">IF(G20&lt;=59,"Debilidad",IF(G20&lt;=79,"Oportunidad",IF(G20&gt;=80,"Fortaleza","EROR")))</f>
        <v>Fortaleza</v>
      </c>
      <c r="J20" s="146">
        <f>(G20+G21)/2</f>
        <v>89</v>
      </c>
      <c r="K20" s="146" t="str">
        <f>IF(J20&lt;=30,"No se cumple",IF(J20&lt;=59,"Se cumple insatisfactoriamente",IF(J20&lt;=79,"Se cumple aceptablemente",IF(J20&lt;=89,"Se cumple en alto grado",IF(J20&gt;=90,"Se cumple plenamente","EROR")))))</f>
        <v>Se cumple en alto grado</v>
      </c>
    </row>
    <row r="21" spans="1:26" ht="141" customHeight="1" x14ac:dyDescent="0.3">
      <c r="A21" s="29" t="s">
        <v>90</v>
      </c>
      <c r="B21" s="30" t="s">
        <v>91</v>
      </c>
      <c r="C21" s="31" t="s">
        <v>40</v>
      </c>
      <c r="D21" s="31" t="s">
        <v>41</v>
      </c>
      <c r="E21" s="32" t="s">
        <v>42</v>
      </c>
      <c r="F21" s="39" t="s">
        <v>92</v>
      </c>
      <c r="G21" s="38">
        <v>84</v>
      </c>
      <c r="H21" s="38" t="str">
        <f t="shared" si="4"/>
        <v>Se cumple en alto grado</v>
      </c>
      <c r="I21" s="38" t="str">
        <f t="shared" si="5"/>
        <v>Fortaleza</v>
      </c>
      <c r="J21" s="148"/>
      <c r="K21" s="148"/>
    </row>
    <row r="22" spans="1:26" ht="13.5" customHeight="1" x14ac:dyDescent="0.3">
      <c r="A22" s="1"/>
      <c r="B22" s="1"/>
      <c r="C22" s="1"/>
      <c r="D22" s="1"/>
      <c r="E22" s="1"/>
      <c r="F22" s="1"/>
      <c r="G22" s="1"/>
      <c r="H22" s="1"/>
      <c r="I22" s="1"/>
      <c r="J22" s="1"/>
      <c r="K22" s="1"/>
    </row>
    <row r="23" spans="1:26" ht="13.5" customHeight="1" x14ac:dyDescent="0.3">
      <c r="A23" s="1"/>
      <c r="B23" s="1"/>
      <c r="C23" s="1"/>
      <c r="D23" s="1"/>
      <c r="E23" s="1"/>
      <c r="F23" s="1"/>
      <c r="G23" s="1"/>
      <c r="H23" s="1"/>
      <c r="I23" s="1"/>
      <c r="J23" s="1"/>
      <c r="K23" s="1"/>
    </row>
    <row r="24" spans="1:26" ht="13.5" customHeight="1" x14ac:dyDescent="0.3">
      <c r="A24" s="1"/>
      <c r="B24" s="1"/>
      <c r="C24" s="1"/>
      <c r="D24" s="1"/>
      <c r="E24" s="1"/>
      <c r="F24" s="1"/>
      <c r="G24" s="1"/>
      <c r="H24" s="1"/>
      <c r="I24" s="1"/>
      <c r="J24" s="1"/>
      <c r="K24" s="1"/>
    </row>
    <row r="25" spans="1:26" ht="13.5" customHeight="1" x14ac:dyDescent="0.3">
      <c r="A25" s="1"/>
      <c r="B25" s="1"/>
      <c r="C25" s="1"/>
      <c r="D25" s="1"/>
      <c r="E25" s="1"/>
      <c r="F25" s="1"/>
      <c r="G25" s="1"/>
      <c r="H25" s="1"/>
      <c r="I25" s="1"/>
      <c r="J25" s="1"/>
      <c r="K25" s="1"/>
    </row>
    <row r="26" spans="1:26" ht="13.5" customHeight="1" x14ac:dyDescent="0.3">
      <c r="A26" s="1"/>
      <c r="B26" s="1"/>
      <c r="C26" s="1"/>
      <c r="D26" s="1"/>
      <c r="E26" s="1"/>
      <c r="F26" s="1"/>
      <c r="G26" s="1"/>
      <c r="H26" s="1"/>
      <c r="I26" s="1"/>
      <c r="J26" s="1"/>
      <c r="K26" s="1"/>
    </row>
    <row r="27" spans="1:26" ht="13.5" customHeight="1" x14ac:dyDescent="0.3">
      <c r="A27" s="1"/>
      <c r="B27" s="1"/>
      <c r="C27" s="1"/>
      <c r="D27" s="1"/>
      <c r="E27" s="1"/>
      <c r="F27" s="1"/>
      <c r="G27" s="1"/>
      <c r="H27" s="1"/>
      <c r="I27" s="1"/>
      <c r="J27" s="1"/>
      <c r="K27" s="1"/>
    </row>
    <row r="28" spans="1:26" ht="13.5" customHeight="1" x14ac:dyDescent="0.3">
      <c r="A28" s="1"/>
      <c r="B28" s="1"/>
      <c r="C28" s="1"/>
      <c r="D28" s="1"/>
      <c r="E28" s="1"/>
      <c r="F28" s="1"/>
      <c r="G28" s="1"/>
      <c r="H28" s="1"/>
      <c r="I28" s="1"/>
      <c r="J28" s="1"/>
      <c r="K28" s="1"/>
    </row>
    <row r="29" spans="1:26" ht="13.5" customHeight="1" x14ac:dyDescent="0.3">
      <c r="A29" s="1"/>
      <c r="B29" s="1"/>
      <c r="C29" s="1"/>
      <c r="D29" s="1"/>
      <c r="E29" s="1"/>
      <c r="F29" s="1"/>
      <c r="G29" s="1"/>
      <c r="H29" s="1"/>
      <c r="I29" s="1"/>
      <c r="J29" s="1"/>
      <c r="K29" s="1"/>
    </row>
    <row r="30" spans="1:26" ht="13.5" customHeight="1" x14ac:dyDescent="0.3">
      <c r="A30" s="1"/>
      <c r="B30" s="1"/>
      <c r="C30" s="1"/>
      <c r="D30" s="1"/>
      <c r="E30" s="1"/>
      <c r="F30" s="1"/>
      <c r="G30" s="1"/>
      <c r="H30" s="1"/>
      <c r="I30" s="1"/>
      <c r="J30" s="1"/>
      <c r="K30" s="1"/>
    </row>
    <row r="31" spans="1:26" ht="13.5" customHeight="1" x14ac:dyDescent="0.3">
      <c r="A31" s="1"/>
      <c r="B31" s="1"/>
      <c r="C31" s="1"/>
      <c r="D31" s="1"/>
      <c r="E31" s="1"/>
      <c r="F31" s="1"/>
      <c r="G31" s="1"/>
      <c r="H31" s="1"/>
      <c r="I31" s="1"/>
      <c r="J31" s="1"/>
      <c r="K31" s="1"/>
    </row>
    <row r="32" spans="1:26" ht="13.5" customHeight="1" x14ac:dyDescent="0.3">
      <c r="A32" s="1"/>
      <c r="B32" s="1"/>
      <c r="C32" s="1"/>
      <c r="D32" s="1"/>
      <c r="E32" s="1"/>
      <c r="F32" s="1"/>
      <c r="G32" s="1"/>
      <c r="H32" s="1"/>
      <c r="I32" s="1"/>
      <c r="J32" s="1"/>
      <c r="K32" s="1"/>
    </row>
    <row r="33" spans="1:11" ht="13.5" customHeight="1" x14ac:dyDescent="0.3">
      <c r="A33" s="1"/>
      <c r="B33" s="1"/>
      <c r="C33" s="1"/>
      <c r="D33" s="1"/>
      <c r="E33" s="1"/>
      <c r="F33" s="1"/>
      <c r="G33" s="1"/>
      <c r="H33" s="1"/>
      <c r="I33" s="1"/>
      <c r="J33" s="1"/>
      <c r="K33" s="1"/>
    </row>
    <row r="34" spans="1:11" ht="13.5" customHeight="1" x14ac:dyDescent="0.3">
      <c r="A34" s="1"/>
      <c r="B34" s="1"/>
      <c r="C34" s="1"/>
      <c r="D34" s="1"/>
      <c r="E34" s="1"/>
      <c r="F34" s="1"/>
      <c r="G34" s="1"/>
      <c r="H34" s="1"/>
      <c r="I34" s="1"/>
      <c r="J34" s="1"/>
      <c r="K34" s="1"/>
    </row>
    <row r="35" spans="1:11" ht="13.5" customHeight="1" x14ac:dyDescent="0.3">
      <c r="A35" s="1"/>
      <c r="B35" s="1"/>
      <c r="C35" s="1"/>
      <c r="D35" s="1"/>
      <c r="E35" s="1"/>
      <c r="F35" s="1"/>
      <c r="G35" s="1"/>
      <c r="H35" s="1"/>
      <c r="I35" s="1"/>
      <c r="J35" s="1"/>
      <c r="K35" s="1"/>
    </row>
    <row r="36" spans="1:11" ht="13.5" customHeight="1" x14ac:dyDescent="0.3">
      <c r="A36" s="1"/>
      <c r="B36" s="1"/>
      <c r="C36" s="1"/>
      <c r="D36" s="1"/>
      <c r="E36" s="1"/>
      <c r="F36" s="1"/>
      <c r="G36" s="1"/>
      <c r="H36" s="1"/>
      <c r="I36" s="1"/>
      <c r="J36" s="1"/>
      <c r="K36" s="1"/>
    </row>
    <row r="37" spans="1:11" ht="13.5" customHeight="1" x14ac:dyDescent="0.3">
      <c r="A37" s="1"/>
      <c r="B37" s="1"/>
      <c r="C37" s="1"/>
      <c r="D37" s="1"/>
      <c r="E37" s="1"/>
      <c r="F37" s="1"/>
      <c r="G37" s="1"/>
      <c r="H37" s="1"/>
      <c r="I37" s="1"/>
      <c r="J37" s="1"/>
      <c r="K37" s="1"/>
    </row>
    <row r="38" spans="1:11" ht="13.5" customHeight="1" x14ac:dyDescent="0.3">
      <c r="A38" s="1"/>
      <c r="B38" s="1"/>
      <c r="C38" s="1"/>
      <c r="D38" s="1"/>
      <c r="E38" s="1"/>
      <c r="F38" s="1"/>
      <c r="G38" s="1"/>
      <c r="H38" s="1"/>
      <c r="I38" s="1"/>
      <c r="J38" s="1"/>
      <c r="K38" s="1"/>
    </row>
    <row r="39" spans="1:11" ht="13.5" customHeight="1" x14ac:dyDescent="0.3">
      <c r="A39" s="1"/>
      <c r="B39" s="1"/>
      <c r="C39" s="1"/>
      <c r="D39" s="1"/>
      <c r="E39" s="1"/>
      <c r="F39" s="1"/>
      <c r="G39" s="1"/>
      <c r="H39" s="1"/>
      <c r="I39" s="1"/>
      <c r="J39" s="1"/>
      <c r="K39" s="1"/>
    </row>
    <row r="40" spans="1:11" ht="13.5" customHeight="1" x14ac:dyDescent="0.3">
      <c r="A40" s="1"/>
      <c r="B40" s="1"/>
      <c r="C40" s="1"/>
      <c r="D40" s="1"/>
      <c r="E40" s="1"/>
      <c r="F40" s="1"/>
      <c r="G40" s="1"/>
      <c r="H40" s="1"/>
      <c r="I40" s="1"/>
      <c r="J40" s="1"/>
      <c r="K40" s="1"/>
    </row>
    <row r="41" spans="1:11" ht="13.5" customHeight="1" x14ac:dyDescent="0.3">
      <c r="A41" s="1"/>
      <c r="B41" s="1"/>
      <c r="C41" s="1"/>
      <c r="D41" s="1"/>
      <c r="E41" s="1"/>
      <c r="F41" s="1"/>
      <c r="G41" s="1"/>
      <c r="H41" s="1"/>
      <c r="I41" s="1"/>
      <c r="J41" s="1"/>
      <c r="K41" s="1"/>
    </row>
    <row r="42" spans="1:11" ht="13.5" customHeight="1" x14ac:dyDescent="0.3">
      <c r="A42" s="1"/>
      <c r="B42" s="1"/>
      <c r="C42" s="1"/>
      <c r="D42" s="1"/>
      <c r="E42" s="1"/>
      <c r="F42" s="1"/>
      <c r="G42" s="1"/>
      <c r="H42" s="1"/>
      <c r="I42" s="1"/>
      <c r="J42" s="1"/>
      <c r="K42" s="1"/>
    </row>
    <row r="43" spans="1:11" ht="13.5" customHeight="1" x14ac:dyDescent="0.3">
      <c r="A43" s="1"/>
      <c r="B43" s="1"/>
      <c r="C43" s="1"/>
      <c r="D43" s="1"/>
      <c r="E43" s="1"/>
      <c r="F43" s="1"/>
      <c r="G43" s="1"/>
      <c r="H43" s="1"/>
      <c r="I43" s="1"/>
      <c r="J43" s="1"/>
      <c r="K43" s="1"/>
    </row>
    <row r="44" spans="1:11" ht="13.5" customHeight="1" x14ac:dyDescent="0.3">
      <c r="A44" s="1"/>
      <c r="B44" s="1"/>
      <c r="C44" s="1"/>
      <c r="D44" s="1"/>
      <c r="E44" s="1"/>
      <c r="F44" s="1"/>
      <c r="G44" s="1"/>
      <c r="H44" s="1"/>
      <c r="I44" s="1"/>
      <c r="J44" s="1"/>
      <c r="K44" s="1"/>
    </row>
    <row r="45" spans="1:11" ht="13.5" customHeight="1" x14ac:dyDescent="0.3">
      <c r="A45" s="1"/>
      <c r="B45" s="1"/>
      <c r="C45" s="1"/>
      <c r="D45" s="1"/>
      <c r="E45" s="1"/>
      <c r="F45" s="1"/>
      <c r="G45" s="1"/>
      <c r="H45" s="1"/>
      <c r="I45" s="1"/>
      <c r="J45" s="1"/>
      <c r="K45" s="1"/>
    </row>
    <row r="46" spans="1:11" ht="13.5" customHeight="1" x14ac:dyDescent="0.3">
      <c r="A46" s="1"/>
      <c r="B46" s="1"/>
      <c r="C46" s="1"/>
      <c r="D46" s="1"/>
      <c r="E46" s="1"/>
      <c r="F46" s="1"/>
      <c r="G46" s="1"/>
      <c r="H46" s="1"/>
      <c r="I46" s="1"/>
      <c r="J46" s="1"/>
      <c r="K46" s="1"/>
    </row>
    <row r="47" spans="1:11" ht="13.5" customHeight="1" x14ac:dyDescent="0.3">
      <c r="A47" s="1"/>
      <c r="B47" s="1"/>
      <c r="C47" s="1"/>
      <c r="D47" s="1"/>
      <c r="E47" s="1"/>
      <c r="F47" s="1"/>
      <c r="G47" s="1"/>
      <c r="H47" s="1"/>
      <c r="I47" s="1"/>
      <c r="J47" s="1"/>
      <c r="K47" s="1"/>
    </row>
    <row r="48" spans="1:11" ht="13.5" customHeight="1" x14ac:dyDescent="0.3">
      <c r="A48" s="1"/>
      <c r="B48" s="1"/>
      <c r="C48" s="1"/>
      <c r="D48" s="1"/>
      <c r="E48" s="1"/>
      <c r="F48" s="1"/>
      <c r="G48" s="1"/>
      <c r="H48" s="1"/>
      <c r="I48" s="1"/>
      <c r="J48" s="1"/>
      <c r="K48" s="1"/>
    </row>
    <row r="49" spans="1:11" ht="13.5" customHeight="1" x14ac:dyDescent="0.3">
      <c r="A49" s="1"/>
      <c r="B49" s="1"/>
      <c r="C49" s="1"/>
      <c r="D49" s="1"/>
      <c r="E49" s="1"/>
      <c r="F49" s="1"/>
      <c r="G49" s="1"/>
      <c r="H49" s="1"/>
      <c r="I49" s="1"/>
      <c r="J49" s="1"/>
      <c r="K49" s="1"/>
    </row>
    <row r="50" spans="1:11" ht="13.5" customHeight="1" x14ac:dyDescent="0.3">
      <c r="A50" s="1"/>
      <c r="B50" s="1"/>
      <c r="C50" s="1"/>
      <c r="D50" s="1"/>
      <c r="E50" s="1"/>
      <c r="F50" s="1"/>
      <c r="G50" s="1"/>
      <c r="H50" s="1"/>
      <c r="I50" s="1"/>
      <c r="J50" s="1"/>
      <c r="K50" s="1"/>
    </row>
    <row r="51" spans="1:11" ht="13.5" customHeight="1" x14ac:dyDescent="0.3">
      <c r="A51" s="1"/>
      <c r="B51" s="1"/>
      <c r="C51" s="1"/>
      <c r="D51" s="1"/>
      <c r="E51" s="1"/>
      <c r="F51" s="1"/>
      <c r="G51" s="1"/>
      <c r="H51" s="1"/>
      <c r="I51" s="1"/>
      <c r="J51" s="1"/>
      <c r="K51" s="1"/>
    </row>
    <row r="52" spans="1:11" ht="13.5" customHeight="1" x14ac:dyDescent="0.3">
      <c r="A52" s="1"/>
      <c r="B52" s="1"/>
      <c r="C52" s="1"/>
      <c r="D52" s="1"/>
      <c r="E52" s="1"/>
      <c r="F52" s="1"/>
      <c r="G52" s="1"/>
      <c r="H52" s="1"/>
      <c r="I52" s="1"/>
      <c r="J52" s="1"/>
      <c r="K52" s="1"/>
    </row>
    <row r="53" spans="1:11" ht="13.5" customHeight="1" x14ac:dyDescent="0.3">
      <c r="A53" s="1"/>
      <c r="B53" s="1"/>
      <c r="C53" s="1"/>
      <c r="D53" s="1"/>
      <c r="E53" s="1"/>
      <c r="F53" s="1"/>
      <c r="G53" s="1"/>
      <c r="H53" s="1"/>
      <c r="I53" s="1"/>
      <c r="J53" s="1"/>
      <c r="K53" s="1"/>
    </row>
    <row r="54" spans="1:11" ht="13.5" customHeight="1" x14ac:dyDescent="0.3">
      <c r="A54" s="1"/>
      <c r="B54" s="1"/>
      <c r="C54" s="1"/>
      <c r="D54" s="1"/>
      <c r="E54" s="1"/>
      <c r="F54" s="1"/>
      <c r="G54" s="1"/>
      <c r="H54" s="1"/>
      <c r="I54" s="1"/>
      <c r="J54" s="1"/>
      <c r="K54" s="1"/>
    </row>
    <row r="55" spans="1:11" ht="13.5" customHeight="1" x14ac:dyDescent="0.3">
      <c r="A55" s="1"/>
      <c r="B55" s="1"/>
      <c r="C55" s="1"/>
      <c r="D55" s="1"/>
      <c r="E55" s="1"/>
      <c r="F55" s="1"/>
      <c r="G55" s="1"/>
      <c r="H55" s="1"/>
      <c r="I55" s="1"/>
      <c r="J55" s="1"/>
      <c r="K55" s="1"/>
    </row>
    <row r="56" spans="1:11" ht="13.5" customHeight="1" x14ac:dyDescent="0.3">
      <c r="A56" s="1"/>
      <c r="B56" s="1"/>
      <c r="C56" s="1"/>
      <c r="D56" s="1"/>
      <c r="E56" s="1"/>
      <c r="F56" s="1"/>
      <c r="G56" s="1"/>
      <c r="H56" s="1"/>
      <c r="I56" s="1"/>
      <c r="J56" s="1"/>
      <c r="K56" s="1"/>
    </row>
    <row r="57" spans="1:11" ht="13.5" customHeight="1" x14ac:dyDescent="0.3">
      <c r="A57" s="1"/>
      <c r="B57" s="1"/>
      <c r="C57" s="1"/>
      <c r="D57" s="1"/>
      <c r="E57" s="1"/>
      <c r="F57" s="1"/>
      <c r="G57" s="1"/>
      <c r="H57" s="1"/>
      <c r="I57" s="1"/>
      <c r="J57" s="1"/>
      <c r="K57" s="1"/>
    </row>
    <row r="58" spans="1:11" ht="13.5" customHeight="1" x14ac:dyDescent="0.3">
      <c r="A58" s="1"/>
      <c r="B58" s="1"/>
      <c r="C58" s="1"/>
      <c r="D58" s="1"/>
      <c r="E58" s="1"/>
      <c r="F58" s="1"/>
      <c r="G58" s="1"/>
      <c r="H58" s="1"/>
      <c r="I58" s="1"/>
      <c r="J58" s="1"/>
      <c r="K58" s="1"/>
    </row>
    <row r="59" spans="1:11" ht="13.5" customHeight="1" x14ac:dyDescent="0.3">
      <c r="A59" s="1"/>
      <c r="B59" s="1"/>
      <c r="C59" s="1"/>
      <c r="D59" s="1"/>
      <c r="E59" s="1"/>
      <c r="F59" s="1"/>
      <c r="G59" s="1"/>
      <c r="H59" s="1"/>
      <c r="I59" s="1"/>
      <c r="J59" s="1"/>
      <c r="K59" s="1"/>
    </row>
    <row r="60" spans="1:11" ht="13.5" customHeight="1" x14ac:dyDescent="0.3">
      <c r="A60" s="1"/>
      <c r="B60" s="1"/>
      <c r="C60" s="1"/>
      <c r="D60" s="1"/>
      <c r="E60" s="1"/>
      <c r="F60" s="1"/>
      <c r="G60" s="1"/>
      <c r="H60" s="1"/>
      <c r="I60" s="1"/>
      <c r="J60" s="1"/>
      <c r="K60" s="1"/>
    </row>
    <row r="61" spans="1:11" ht="13.5" customHeight="1" x14ac:dyDescent="0.3">
      <c r="A61" s="1"/>
      <c r="B61" s="1"/>
      <c r="C61" s="1"/>
      <c r="D61" s="1"/>
      <c r="E61" s="1"/>
      <c r="F61" s="1"/>
      <c r="G61" s="1"/>
      <c r="H61" s="1"/>
      <c r="I61" s="1"/>
      <c r="J61" s="1"/>
      <c r="K61" s="1"/>
    </row>
    <row r="62" spans="1:11" ht="13.5" customHeight="1" x14ac:dyDescent="0.3">
      <c r="A62" s="1"/>
      <c r="B62" s="1"/>
      <c r="C62" s="1"/>
      <c r="D62" s="1"/>
      <c r="E62" s="1"/>
      <c r="F62" s="1"/>
      <c r="G62" s="1"/>
      <c r="H62" s="1"/>
      <c r="I62" s="1"/>
      <c r="J62" s="1"/>
      <c r="K62" s="1"/>
    </row>
    <row r="63" spans="1:11" ht="13.5" customHeight="1" x14ac:dyDescent="0.3">
      <c r="A63" s="1"/>
      <c r="B63" s="1"/>
      <c r="C63" s="1"/>
      <c r="D63" s="1"/>
      <c r="E63" s="1"/>
      <c r="F63" s="1"/>
      <c r="G63" s="1"/>
      <c r="H63" s="1"/>
      <c r="I63" s="1"/>
      <c r="J63" s="1"/>
      <c r="K63" s="1"/>
    </row>
    <row r="64" spans="1:11" ht="13.5" customHeight="1" x14ac:dyDescent="0.3">
      <c r="A64" s="1"/>
      <c r="B64" s="1"/>
      <c r="C64" s="1"/>
      <c r="D64" s="1"/>
      <c r="E64" s="1"/>
      <c r="F64" s="1"/>
      <c r="G64" s="1"/>
      <c r="H64" s="1"/>
      <c r="I64" s="1"/>
      <c r="J64" s="1"/>
      <c r="K64" s="1"/>
    </row>
    <row r="65" spans="1:11" ht="13.5" customHeight="1" x14ac:dyDescent="0.3">
      <c r="A65" s="1"/>
      <c r="B65" s="1"/>
      <c r="C65" s="1"/>
      <c r="D65" s="1"/>
      <c r="E65" s="1"/>
      <c r="F65" s="1"/>
      <c r="G65" s="1"/>
      <c r="H65" s="1"/>
      <c r="I65" s="1"/>
      <c r="J65" s="1"/>
      <c r="K65" s="1"/>
    </row>
    <row r="66" spans="1:11" ht="13.5" customHeight="1" x14ac:dyDescent="0.3">
      <c r="A66" s="1"/>
      <c r="B66" s="1"/>
      <c r="C66" s="1"/>
      <c r="D66" s="1"/>
      <c r="E66" s="1"/>
      <c r="F66" s="1"/>
      <c r="G66" s="1"/>
      <c r="H66" s="1"/>
      <c r="I66" s="1"/>
      <c r="J66" s="1"/>
      <c r="K66" s="1"/>
    </row>
    <row r="67" spans="1:11" ht="13.5" customHeight="1" x14ac:dyDescent="0.3">
      <c r="A67" s="1"/>
      <c r="B67" s="1"/>
      <c r="C67" s="1"/>
      <c r="D67" s="1"/>
      <c r="E67" s="1"/>
      <c r="F67" s="1"/>
      <c r="G67" s="1"/>
      <c r="H67" s="1"/>
      <c r="I67" s="1"/>
      <c r="J67" s="1"/>
      <c r="K67" s="1"/>
    </row>
    <row r="68" spans="1:11" ht="13.5" customHeight="1" x14ac:dyDescent="0.3">
      <c r="A68" s="1"/>
      <c r="B68" s="1"/>
      <c r="C68" s="1"/>
      <c r="D68" s="1"/>
      <c r="E68" s="1"/>
      <c r="F68" s="1"/>
      <c r="G68" s="1"/>
      <c r="H68" s="1"/>
      <c r="I68" s="1"/>
      <c r="J68" s="1"/>
      <c r="K68" s="1"/>
    </row>
    <row r="69" spans="1:11" ht="13.5" customHeight="1" x14ac:dyDescent="0.3">
      <c r="A69" s="1"/>
      <c r="B69" s="1"/>
      <c r="C69" s="1"/>
      <c r="D69" s="1"/>
      <c r="E69" s="1"/>
      <c r="F69" s="1"/>
      <c r="G69" s="1"/>
      <c r="H69" s="1"/>
      <c r="I69" s="1"/>
      <c r="J69" s="1"/>
      <c r="K69" s="1"/>
    </row>
    <row r="70" spans="1:11" ht="13.5" customHeight="1" x14ac:dyDescent="0.3">
      <c r="A70" s="1"/>
      <c r="B70" s="1"/>
      <c r="C70" s="1"/>
      <c r="D70" s="1"/>
      <c r="E70" s="1"/>
      <c r="F70" s="1"/>
      <c r="G70" s="1"/>
      <c r="H70" s="1"/>
      <c r="I70" s="1"/>
      <c r="J70" s="1"/>
      <c r="K70" s="1"/>
    </row>
    <row r="71" spans="1:11" ht="13.5" customHeight="1" x14ac:dyDescent="0.3">
      <c r="A71" s="1"/>
      <c r="B71" s="1"/>
      <c r="C71" s="1"/>
      <c r="D71" s="1"/>
      <c r="E71" s="1"/>
      <c r="F71" s="1"/>
      <c r="G71" s="1"/>
      <c r="H71" s="1"/>
      <c r="I71" s="1"/>
      <c r="J71" s="1"/>
      <c r="K71" s="1"/>
    </row>
    <row r="72" spans="1:11" ht="13.5" customHeight="1" x14ac:dyDescent="0.3">
      <c r="A72" s="1"/>
      <c r="B72" s="1"/>
      <c r="C72" s="1"/>
      <c r="D72" s="1"/>
      <c r="E72" s="1"/>
      <c r="F72" s="1"/>
      <c r="G72" s="1"/>
      <c r="H72" s="1"/>
      <c r="I72" s="1"/>
      <c r="J72" s="1"/>
      <c r="K72" s="1"/>
    </row>
    <row r="73" spans="1:11" ht="13.5" customHeight="1" x14ac:dyDescent="0.3">
      <c r="A73" s="1"/>
      <c r="B73" s="1"/>
      <c r="C73" s="1"/>
      <c r="D73" s="1"/>
      <c r="E73" s="1"/>
      <c r="F73" s="1"/>
      <c r="G73" s="1"/>
      <c r="H73" s="1"/>
      <c r="I73" s="1"/>
      <c r="J73" s="1"/>
      <c r="K73" s="1"/>
    </row>
    <row r="74" spans="1:11" ht="13.5" customHeight="1" x14ac:dyDescent="0.3">
      <c r="A74" s="1"/>
      <c r="B74" s="1"/>
      <c r="C74" s="1"/>
      <c r="D74" s="1"/>
      <c r="E74" s="1"/>
      <c r="F74" s="1"/>
      <c r="G74" s="1"/>
      <c r="H74" s="1"/>
      <c r="I74" s="1"/>
      <c r="J74" s="1"/>
      <c r="K74" s="1"/>
    </row>
    <row r="75" spans="1:11" ht="13.5" customHeight="1" x14ac:dyDescent="0.3">
      <c r="A75" s="1"/>
      <c r="B75" s="1"/>
      <c r="C75" s="1"/>
      <c r="D75" s="1"/>
      <c r="E75" s="1"/>
      <c r="F75" s="1"/>
      <c r="G75" s="1"/>
      <c r="H75" s="1"/>
      <c r="I75" s="1"/>
      <c r="J75" s="1"/>
      <c r="K75" s="1"/>
    </row>
    <row r="76" spans="1:11" ht="13.5" customHeight="1" x14ac:dyDescent="0.3">
      <c r="A76" s="1"/>
      <c r="B76" s="1"/>
      <c r="C76" s="1"/>
      <c r="D76" s="1"/>
      <c r="E76" s="1"/>
      <c r="F76" s="1"/>
      <c r="G76" s="1"/>
      <c r="H76" s="1"/>
      <c r="I76" s="1"/>
      <c r="J76" s="1"/>
      <c r="K76" s="1"/>
    </row>
    <row r="77" spans="1:11" ht="13.5" customHeight="1" x14ac:dyDescent="0.3">
      <c r="A77" s="1"/>
      <c r="B77" s="1"/>
      <c r="C77" s="1"/>
      <c r="D77" s="1"/>
      <c r="E77" s="1"/>
      <c r="F77" s="1"/>
      <c r="G77" s="1"/>
      <c r="H77" s="1"/>
      <c r="I77" s="1"/>
      <c r="J77" s="1"/>
      <c r="K77" s="1"/>
    </row>
    <row r="78" spans="1:11" ht="13.5" customHeight="1" x14ac:dyDescent="0.3">
      <c r="A78" s="1"/>
      <c r="B78" s="1"/>
      <c r="C78" s="1"/>
      <c r="D78" s="1"/>
      <c r="E78" s="1"/>
      <c r="F78" s="1"/>
      <c r="G78" s="1"/>
      <c r="H78" s="1"/>
      <c r="I78" s="1"/>
      <c r="J78" s="1"/>
      <c r="K78" s="1"/>
    </row>
    <row r="79" spans="1:11" ht="13.5" customHeight="1" x14ac:dyDescent="0.3">
      <c r="A79" s="1"/>
      <c r="B79" s="1"/>
      <c r="C79" s="1"/>
      <c r="D79" s="1"/>
      <c r="E79" s="1"/>
      <c r="F79" s="1"/>
      <c r="G79" s="1"/>
      <c r="H79" s="1"/>
      <c r="I79" s="1"/>
      <c r="J79" s="1"/>
      <c r="K79" s="1"/>
    </row>
    <row r="80" spans="1:11" ht="13.5" customHeight="1" x14ac:dyDescent="0.3">
      <c r="A80" s="1"/>
      <c r="B80" s="1"/>
      <c r="C80" s="1"/>
      <c r="D80" s="1"/>
      <c r="E80" s="1"/>
      <c r="F80" s="1"/>
      <c r="G80" s="1"/>
      <c r="H80" s="1"/>
      <c r="I80" s="1"/>
      <c r="J80" s="1"/>
      <c r="K80" s="1"/>
    </row>
    <row r="81" spans="1:11" ht="13.5" customHeight="1" x14ac:dyDescent="0.3">
      <c r="A81" s="1"/>
      <c r="B81" s="1"/>
      <c r="C81" s="1"/>
      <c r="D81" s="1"/>
      <c r="E81" s="1"/>
      <c r="F81" s="1"/>
      <c r="G81" s="1"/>
      <c r="H81" s="1"/>
      <c r="I81" s="1"/>
      <c r="J81" s="1"/>
      <c r="K81" s="1"/>
    </row>
    <row r="82" spans="1:11" ht="13.5" customHeight="1" x14ac:dyDescent="0.3">
      <c r="A82" s="1"/>
      <c r="B82" s="1"/>
      <c r="C82" s="1"/>
      <c r="D82" s="1"/>
      <c r="E82" s="1"/>
      <c r="F82" s="1"/>
      <c r="G82" s="1"/>
      <c r="H82" s="1"/>
      <c r="I82" s="1"/>
      <c r="J82" s="1"/>
      <c r="K82" s="1"/>
    </row>
    <row r="83" spans="1:11" ht="13.5" customHeight="1" x14ac:dyDescent="0.3">
      <c r="A83" s="1"/>
      <c r="B83" s="1"/>
      <c r="C83" s="1"/>
      <c r="D83" s="1"/>
      <c r="E83" s="1"/>
      <c r="F83" s="1"/>
      <c r="G83" s="1"/>
      <c r="H83" s="1"/>
      <c r="I83" s="1"/>
      <c r="J83" s="1"/>
      <c r="K83" s="1"/>
    </row>
    <row r="84" spans="1:11" ht="13.5" customHeight="1" x14ac:dyDescent="0.3">
      <c r="A84" s="1"/>
      <c r="B84" s="1"/>
      <c r="C84" s="1"/>
      <c r="D84" s="1"/>
      <c r="E84" s="1"/>
      <c r="F84" s="1"/>
      <c r="G84" s="1"/>
      <c r="H84" s="1"/>
      <c r="I84" s="1"/>
      <c r="J84" s="1"/>
      <c r="K84" s="1"/>
    </row>
    <row r="85" spans="1:11" ht="13.5" customHeight="1" x14ac:dyDescent="0.3">
      <c r="A85" s="1"/>
      <c r="B85" s="1"/>
      <c r="C85" s="1"/>
      <c r="D85" s="1"/>
      <c r="E85" s="1"/>
      <c r="F85" s="1"/>
      <c r="G85" s="1"/>
      <c r="H85" s="1"/>
      <c r="I85" s="1"/>
      <c r="J85" s="1"/>
      <c r="K85" s="1"/>
    </row>
    <row r="86" spans="1:11" ht="13.5" customHeight="1" x14ac:dyDescent="0.3">
      <c r="A86" s="1"/>
      <c r="B86" s="1"/>
      <c r="C86" s="1"/>
      <c r="D86" s="1"/>
      <c r="E86" s="1"/>
      <c r="F86" s="1"/>
      <c r="G86" s="1"/>
      <c r="H86" s="1"/>
      <c r="I86" s="1"/>
      <c r="J86" s="1"/>
      <c r="K86" s="1"/>
    </row>
    <row r="87" spans="1:11" ht="13.5" customHeight="1" x14ac:dyDescent="0.3">
      <c r="A87" s="1"/>
      <c r="B87" s="1"/>
      <c r="C87" s="1"/>
      <c r="D87" s="1"/>
      <c r="E87" s="1"/>
      <c r="F87" s="1"/>
      <c r="G87" s="1"/>
      <c r="H87" s="1"/>
      <c r="I87" s="1"/>
      <c r="J87" s="1"/>
      <c r="K87" s="1"/>
    </row>
    <row r="88" spans="1:11" ht="13.5" customHeight="1" x14ac:dyDescent="0.3">
      <c r="A88" s="1"/>
      <c r="B88" s="1"/>
      <c r="C88" s="1"/>
      <c r="D88" s="1"/>
      <c r="E88" s="1"/>
      <c r="F88" s="1"/>
      <c r="G88" s="1"/>
      <c r="H88" s="1"/>
      <c r="I88" s="1"/>
      <c r="J88" s="1"/>
      <c r="K88" s="1"/>
    </row>
    <row r="89" spans="1:11" ht="13.5" customHeight="1" x14ac:dyDescent="0.3">
      <c r="A89" s="1"/>
      <c r="B89" s="1"/>
      <c r="C89" s="1"/>
      <c r="D89" s="1"/>
      <c r="E89" s="1"/>
      <c r="F89" s="1"/>
      <c r="G89" s="1"/>
      <c r="H89" s="1"/>
      <c r="I89" s="1"/>
      <c r="J89" s="1"/>
      <c r="K89" s="1"/>
    </row>
    <row r="90" spans="1:11" ht="13.5" customHeight="1" x14ac:dyDescent="0.3">
      <c r="A90" s="1"/>
      <c r="B90" s="1"/>
      <c r="C90" s="1"/>
      <c r="D90" s="1"/>
      <c r="E90" s="1"/>
      <c r="F90" s="1"/>
      <c r="G90" s="1"/>
      <c r="H90" s="1"/>
      <c r="I90" s="1"/>
      <c r="J90" s="1"/>
      <c r="K90" s="1"/>
    </row>
    <row r="91" spans="1:11" ht="13.5" customHeight="1" x14ac:dyDescent="0.3">
      <c r="A91" s="1"/>
      <c r="B91" s="1"/>
      <c r="C91" s="1"/>
      <c r="D91" s="1"/>
      <c r="E91" s="1"/>
      <c r="F91" s="1"/>
      <c r="G91" s="1"/>
      <c r="H91" s="1"/>
      <c r="I91" s="1"/>
      <c r="J91" s="1"/>
      <c r="K91" s="1"/>
    </row>
    <row r="92" spans="1:11" ht="13.5" customHeight="1" x14ac:dyDescent="0.3">
      <c r="A92" s="1"/>
      <c r="B92" s="1"/>
      <c r="C92" s="1"/>
      <c r="D92" s="1"/>
      <c r="E92" s="1"/>
      <c r="F92" s="1"/>
      <c r="G92" s="1"/>
      <c r="H92" s="1"/>
      <c r="I92" s="1"/>
      <c r="J92" s="1"/>
      <c r="K92" s="1"/>
    </row>
    <row r="93" spans="1:11" ht="13.5" customHeight="1" x14ac:dyDescent="0.3">
      <c r="A93" s="1"/>
      <c r="B93" s="1"/>
      <c r="C93" s="1"/>
      <c r="D93" s="1"/>
      <c r="E93" s="1"/>
      <c r="F93" s="1"/>
      <c r="G93" s="1"/>
      <c r="H93" s="1"/>
      <c r="I93" s="1"/>
      <c r="J93" s="1"/>
      <c r="K93" s="1"/>
    </row>
    <row r="94" spans="1:11" ht="13.5" customHeight="1" x14ac:dyDescent="0.3">
      <c r="A94" s="1"/>
      <c r="B94" s="1"/>
      <c r="C94" s="1"/>
      <c r="D94" s="1"/>
      <c r="E94" s="1"/>
      <c r="F94" s="1"/>
      <c r="G94" s="1"/>
      <c r="H94" s="1"/>
      <c r="I94" s="1"/>
      <c r="J94" s="1"/>
      <c r="K94" s="1"/>
    </row>
    <row r="95" spans="1:11" ht="13.5" customHeight="1" x14ac:dyDescent="0.3">
      <c r="A95" s="1"/>
      <c r="B95" s="1"/>
      <c r="C95" s="1"/>
      <c r="D95" s="1"/>
      <c r="E95" s="1"/>
      <c r="F95" s="1"/>
      <c r="G95" s="1"/>
      <c r="H95" s="1"/>
      <c r="I95" s="1"/>
      <c r="J95" s="1"/>
      <c r="K95" s="1"/>
    </row>
    <row r="96" spans="1:11" ht="13.5" customHeight="1" x14ac:dyDescent="0.3">
      <c r="A96" s="1"/>
      <c r="B96" s="1"/>
      <c r="C96" s="1"/>
      <c r="D96" s="1"/>
      <c r="E96" s="1"/>
      <c r="F96" s="1"/>
      <c r="G96" s="1"/>
      <c r="H96" s="1"/>
      <c r="I96" s="1"/>
      <c r="J96" s="1"/>
      <c r="K96" s="1"/>
    </row>
    <row r="97" spans="1:11" ht="13.5" customHeight="1" x14ac:dyDescent="0.3">
      <c r="A97" s="1"/>
      <c r="B97" s="1"/>
      <c r="C97" s="1"/>
      <c r="D97" s="1"/>
      <c r="E97" s="1"/>
      <c r="F97" s="1"/>
      <c r="G97" s="1"/>
      <c r="H97" s="1"/>
      <c r="I97" s="1"/>
      <c r="J97" s="1"/>
      <c r="K97" s="1"/>
    </row>
    <row r="98" spans="1:11" ht="13.5" customHeight="1" x14ac:dyDescent="0.3">
      <c r="A98" s="1"/>
      <c r="B98" s="1"/>
      <c r="C98" s="1"/>
      <c r="D98" s="1"/>
      <c r="E98" s="1"/>
      <c r="F98" s="1"/>
      <c r="G98" s="1"/>
      <c r="H98" s="1"/>
      <c r="I98" s="1"/>
      <c r="J98" s="1"/>
      <c r="K98" s="1"/>
    </row>
    <row r="99" spans="1:11" ht="13.5" customHeight="1" x14ac:dyDescent="0.3">
      <c r="A99" s="1"/>
      <c r="B99" s="1"/>
      <c r="C99" s="1"/>
      <c r="D99" s="1"/>
      <c r="E99" s="1"/>
      <c r="F99" s="1"/>
      <c r="G99" s="1"/>
      <c r="H99" s="1"/>
      <c r="I99" s="1"/>
      <c r="J99" s="1"/>
      <c r="K99" s="1"/>
    </row>
    <row r="100" spans="1:11" ht="13.5" customHeight="1" x14ac:dyDescent="0.3">
      <c r="A100" s="1"/>
      <c r="B100" s="1"/>
      <c r="C100" s="1"/>
      <c r="D100" s="1"/>
      <c r="E100" s="1"/>
      <c r="F100" s="1"/>
      <c r="G100" s="1"/>
      <c r="H100" s="1"/>
      <c r="I100" s="1"/>
      <c r="J100" s="1"/>
      <c r="K100" s="1"/>
    </row>
    <row r="101" spans="1:11" ht="13.5" customHeight="1" x14ac:dyDescent="0.3">
      <c r="A101" s="1"/>
      <c r="B101" s="1"/>
      <c r="C101" s="1"/>
      <c r="D101" s="1"/>
      <c r="E101" s="1"/>
      <c r="F101" s="1"/>
      <c r="G101" s="1"/>
      <c r="H101" s="1"/>
      <c r="I101" s="1"/>
      <c r="J101" s="1"/>
      <c r="K101" s="1"/>
    </row>
    <row r="102" spans="1:11" ht="13.5" customHeight="1" x14ac:dyDescent="0.3">
      <c r="A102" s="1"/>
      <c r="B102" s="1"/>
      <c r="C102" s="1"/>
      <c r="D102" s="1"/>
      <c r="E102" s="1"/>
      <c r="F102" s="1"/>
      <c r="G102" s="1"/>
      <c r="H102" s="1"/>
      <c r="I102" s="1"/>
      <c r="J102" s="1"/>
      <c r="K102" s="1"/>
    </row>
    <row r="103" spans="1:11" ht="13.5" customHeight="1" x14ac:dyDescent="0.3">
      <c r="A103" s="1"/>
      <c r="B103" s="1"/>
      <c r="C103" s="1"/>
      <c r="D103" s="1"/>
      <c r="E103" s="1"/>
      <c r="F103" s="1"/>
      <c r="G103" s="1"/>
      <c r="H103" s="1"/>
      <c r="I103" s="1"/>
      <c r="J103" s="1"/>
      <c r="K103" s="1"/>
    </row>
    <row r="104" spans="1:11" ht="13.5" customHeight="1" x14ac:dyDescent="0.3">
      <c r="A104" s="1"/>
      <c r="B104" s="1"/>
      <c r="C104" s="1"/>
      <c r="D104" s="1"/>
      <c r="E104" s="1"/>
      <c r="F104" s="1"/>
      <c r="G104" s="1"/>
      <c r="H104" s="1"/>
      <c r="I104" s="1"/>
      <c r="J104" s="1"/>
      <c r="K104" s="1"/>
    </row>
    <row r="105" spans="1:11" ht="13.5" customHeight="1" x14ac:dyDescent="0.3">
      <c r="A105" s="1"/>
      <c r="B105" s="1"/>
      <c r="C105" s="1"/>
      <c r="D105" s="1"/>
      <c r="E105" s="1"/>
      <c r="F105" s="1"/>
      <c r="G105" s="1"/>
      <c r="H105" s="1"/>
      <c r="I105" s="1"/>
      <c r="J105" s="1"/>
      <c r="K105" s="1"/>
    </row>
    <row r="106" spans="1:11" ht="13.5" customHeight="1" x14ac:dyDescent="0.3">
      <c r="A106" s="1"/>
      <c r="B106" s="1"/>
      <c r="C106" s="1"/>
      <c r="D106" s="1"/>
      <c r="E106" s="1"/>
      <c r="F106" s="1"/>
      <c r="G106" s="1"/>
      <c r="H106" s="1"/>
      <c r="I106" s="1"/>
      <c r="J106" s="1"/>
      <c r="K106" s="1"/>
    </row>
    <row r="107" spans="1:11" ht="13.5" customHeight="1" x14ac:dyDescent="0.3">
      <c r="A107" s="1"/>
      <c r="B107" s="1"/>
      <c r="C107" s="1"/>
      <c r="D107" s="1"/>
      <c r="E107" s="1"/>
      <c r="F107" s="1"/>
      <c r="G107" s="1"/>
      <c r="H107" s="1"/>
      <c r="I107" s="1"/>
      <c r="J107" s="1"/>
      <c r="K107" s="1"/>
    </row>
    <row r="108" spans="1:11" ht="13.5" customHeight="1" x14ac:dyDescent="0.3">
      <c r="A108" s="1"/>
      <c r="B108" s="1"/>
      <c r="C108" s="1"/>
      <c r="D108" s="1"/>
      <c r="E108" s="1"/>
      <c r="F108" s="1"/>
      <c r="G108" s="1"/>
      <c r="H108" s="1"/>
      <c r="I108" s="1"/>
      <c r="J108" s="1"/>
      <c r="K108" s="1"/>
    </row>
    <row r="109" spans="1:11" ht="13.5" customHeight="1" x14ac:dyDescent="0.3">
      <c r="A109" s="1"/>
      <c r="B109" s="1"/>
      <c r="C109" s="1"/>
      <c r="D109" s="1"/>
      <c r="E109" s="1"/>
      <c r="F109" s="1"/>
      <c r="G109" s="1"/>
      <c r="H109" s="1"/>
      <c r="I109" s="1"/>
      <c r="J109" s="1"/>
      <c r="K109" s="1"/>
    </row>
    <row r="110" spans="1:11" ht="13.5" customHeight="1" x14ac:dyDescent="0.3">
      <c r="A110" s="1"/>
      <c r="B110" s="1"/>
      <c r="C110" s="1"/>
      <c r="D110" s="1"/>
      <c r="E110" s="1"/>
      <c r="F110" s="1"/>
      <c r="G110" s="1"/>
      <c r="H110" s="1"/>
      <c r="I110" s="1"/>
      <c r="J110" s="1"/>
      <c r="K110" s="1"/>
    </row>
    <row r="111" spans="1:11" ht="13.5" customHeight="1" x14ac:dyDescent="0.3">
      <c r="A111" s="1"/>
      <c r="B111" s="1"/>
      <c r="C111" s="1"/>
      <c r="D111" s="1"/>
      <c r="E111" s="1"/>
      <c r="F111" s="1"/>
      <c r="G111" s="1"/>
      <c r="H111" s="1"/>
      <c r="I111" s="1"/>
      <c r="J111" s="1"/>
      <c r="K111" s="1"/>
    </row>
    <row r="112" spans="1:11" ht="13.5" customHeight="1" x14ac:dyDescent="0.3">
      <c r="A112" s="1"/>
      <c r="B112" s="1"/>
      <c r="C112" s="1"/>
      <c r="D112" s="1"/>
      <c r="E112" s="1"/>
      <c r="F112" s="1"/>
      <c r="G112" s="1"/>
      <c r="H112" s="1"/>
      <c r="I112" s="1"/>
      <c r="J112" s="1"/>
      <c r="K112" s="1"/>
    </row>
    <row r="113" spans="1:11" ht="13.5" customHeight="1" x14ac:dyDescent="0.3">
      <c r="A113" s="1"/>
      <c r="B113" s="1"/>
      <c r="C113" s="1"/>
      <c r="D113" s="1"/>
      <c r="E113" s="1"/>
      <c r="F113" s="1"/>
      <c r="G113" s="1"/>
      <c r="H113" s="1"/>
      <c r="I113" s="1"/>
      <c r="J113" s="1"/>
      <c r="K113" s="1"/>
    </row>
    <row r="114" spans="1:11" ht="13.5" customHeight="1" x14ac:dyDescent="0.3">
      <c r="A114" s="1"/>
      <c r="B114" s="1"/>
      <c r="C114" s="1"/>
      <c r="D114" s="1"/>
      <c r="E114" s="1"/>
      <c r="F114" s="1"/>
      <c r="G114" s="1"/>
      <c r="H114" s="1"/>
      <c r="I114" s="1"/>
      <c r="J114" s="1"/>
      <c r="K114" s="1"/>
    </row>
    <row r="115" spans="1:11" ht="13.5" customHeight="1" x14ac:dyDescent="0.3">
      <c r="A115" s="1"/>
      <c r="B115" s="1"/>
      <c r="C115" s="1"/>
      <c r="D115" s="1"/>
      <c r="E115" s="1"/>
      <c r="F115" s="1"/>
      <c r="G115" s="1"/>
      <c r="H115" s="1"/>
      <c r="I115" s="1"/>
      <c r="J115" s="1"/>
      <c r="K115" s="1"/>
    </row>
    <row r="116" spans="1:11" ht="13.5" customHeight="1" x14ac:dyDescent="0.3">
      <c r="A116" s="1"/>
      <c r="B116" s="1"/>
      <c r="C116" s="1"/>
      <c r="D116" s="1"/>
      <c r="E116" s="1"/>
      <c r="F116" s="1"/>
      <c r="G116" s="1"/>
      <c r="H116" s="1"/>
      <c r="I116" s="1"/>
      <c r="J116" s="1"/>
      <c r="K116" s="1"/>
    </row>
    <row r="117" spans="1:11" ht="13.5" customHeight="1" x14ac:dyDescent="0.3">
      <c r="A117" s="1"/>
      <c r="B117" s="1"/>
      <c r="C117" s="1"/>
      <c r="D117" s="1"/>
      <c r="E117" s="1"/>
      <c r="F117" s="1"/>
      <c r="G117" s="1"/>
      <c r="H117" s="1"/>
      <c r="I117" s="1"/>
      <c r="J117" s="1"/>
      <c r="K117" s="1"/>
    </row>
    <row r="118" spans="1:11" ht="13.5" customHeight="1" x14ac:dyDescent="0.3">
      <c r="A118" s="1"/>
      <c r="B118" s="1"/>
      <c r="C118" s="1"/>
      <c r="D118" s="1"/>
      <c r="E118" s="1"/>
      <c r="F118" s="1"/>
      <c r="G118" s="1"/>
      <c r="H118" s="1"/>
      <c r="I118" s="1"/>
      <c r="J118" s="1"/>
      <c r="K118" s="1"/>
    </row>
    <row r="119" spans="1:11" ht="13.5" customHeight="1" x14ac:dyDescent="0.3">
      <c r="A119" s="1"/>
      <c r="B119" s="1"/>
      <c r="C119" s="1"/>
      <c r="D119" s="1"/>
      <c r="E119" s="1"/>
      <c r="F119" s="1"/>
      <c r="G119" s="1"/>
      <c r="H119" s="1"/>
      <c r="I119" s="1"/>
      <c r="J119" s="1"/>
      <c r="K119" s="1"/>
    </row>
    <row r="120" spans="1:11" ht="13.5" customHeight="1" x14ac:dyDescent="0.3">
      <c r="A120" s="1"/>
      <c r="B120" s="1"/>
      <c r="C120" s="1"/>
      <c r="D120" s="1"/>
      <c r="E120" s="1"/>
      <c r="F120" s="1"/>
      <c r="G120" s="1"/>
      <c r="H120" s="1"/>
      <c r="I120" s="1"/>
      <c r="J120" s="1"/>
      <c r="K120" s="1"/>
    </row>
    <row r="121" spans="1:11" ht="13.5" customHeight="1" x14ac:dyDescent="0.3">
      <c r="A121" s="1"/>
      <c r="B121" s="1"/>
      <c r="C121" s="1"/>
      <c r="D121" s="1"/>
      <c r="E121" s="1"/>
      <c r="F121" s="1"/>
      <c r="G121" s="1"/>
      <c r="H121" s="1"/>
      <c r="I121" s="1"/>
      <c r="J121" s="1"/>
      <c r="K121" s="1"/>
    </row>
    <row r="122" spans="1:11" ht="13.5" customHeight="1" x14ac:dyDescent="0.3">
      <c r="A122" s="1"/>
      <c r="B122" s="1"/>
      <c r="C122" s="1"/>
      <c r="D122" s="1"/>
      <c r="E122" s="1"/>
      <c r="F122" s="1"/>
      <c r="G122" s="1"/>
      <c r="H122" s="1"/>
      <c r="I122" s="1"/>
      <c r="J122" s="1"/>
      <c r="K122" s="1"/>
    </row>
    <row r="123" spans="1:11" ht="13.5" customHeight="1" x14ac:dyDescent="0.3">
      <c r="A123" s="1"/>
      <c r="B123" s="1"/>
      <c r="C123" s="1"/>
      <c r="D123" s="1"/>
      <c r="E123" s="1"/>
      <c r="F123" s="1"/>
      <c r="G123" s="1"/>
      <c r="H123" s="1"/>
      <c r="I123" s="1"/>
      <c r="J123" s="1"/>
      <c r="K123" s="1"/>
    </row>
    <row r="124" spans="1:11" ht="13.5" customHeight="1" x14ac:dyDescent="0.3">
      <c r="A124" s="1"/>
      <c r="B124" s="1"/>
      <c r="C124" s="1"/>
      <c r="D124" s="1"/>
      <c r="E124" s="1"/>
      <c r="F124" s="1"/>
      <c r="G124" s="1"/>
      <c r="H124" s="1"/>
      <c r="I124" s="1"/>
      <c r="J124" s="1"/>
      <c r="K124" s="1"/>
    </row>
    <row r="125" spans="1:11" ht="13.5" customHeight="1" x14ac:dyDescent="0.3">
      <c r="A125" s="1"/>
      <c r="B125" s="1"/>
      <c r="C125" s="1"/>
      <c r="D125" s="1"/>
      <c r="E125" s="1"/>
      <c r="F125" s="1"/>
      <c r="G125" s="1"/>
      <c r="H125" s="1"/>
      <c r="I125" s="1"/>
      <c r="J125" s="1"/>
      <c r="K125" s="1"/>
    </row>
    <row r="126" spans="1:11" ht="13.5" customHeight="1" x14ac:dyDescent="0.3">
      <c r="A126" s="1"/>
      <c r="B126" s="1"/>
      <c r="C126" s="1"/>
      <c r="D126" s="1"/>
      <c r="E126" s="1"/>
      <c r="F126" s="1"/>
      <c r="G126" s="1"/>
      <c r="H126" s="1"/>
      <c r="I126" s="1"/>
      <c r="J126" s="1"/>
      <c r="K126" s="1"/>
    </row>
    <row r="127" spans="1:11" ht="13.5" customHeight="1" x14ac:dyDescent="0.3">
      <c r="A127" s="1"/>
      <c r="B127" s="1"/>
      <c r="C127" s="1"/>
      <c r="D127" s="1"/>
      <c r="E127" s="1"/>
      <c r="F127" s="1"/>
      <c r="G127" s="1"/>
      <c r="H127" s="1"/>
      <c r="I127" s="1"/>
      <c r="J127" s="1"/>
      <c r="K127" s="1"/>
    </row>
    <row r="128" spans="1:11" ht="13.5" customHeight="1" x14ac:dyDescent="0.3">
      <c r="A128" s="1"/>
      <c r="B128" s="1"/>
      <c r="C128" s="1"/>
      <c r="D128" s="1"/>
      <c r="E128" s="1"/>
      <c r="F128" s="1"/>
      <c r="G128" s="1"/>
      <c r="H128" s="1"/>
      <c r="I128" s="1"/>
      <c r="J128" s="1"/>
      <c r="K128" s="1"/>
    </row>
    <row r="129" spans="1:11" ht="13.5" customHeight="1" x14ac:dyDescent="0.3">
      <c r="A129" s="1"/>
      <c r="B129" s="1"/>
      <c r="C129" s="1"/>
      <c r="D129" s="1"/>
      <c r="E129" s="1"/>
      <c r="F129" s="1"/>
      <c r="G129" s="1"/>
      <c r="H129" s="1"/>
      <c r="I129" s="1"/>
      <c r="J129" s="1"/>
      <c r="K129" s="1"/>
    </row>
    <row r="130" spans="1:11" ht="13.5" customHeight="1" x14ac:dyDescent="0.3">
      <c r="A130" s="1"/>
      <c r="B130" s="1"/>
      <c r="C130" s="1"/>
      <c r="D130" s="1"/>
      <c r="E130" s="1"/>
      <c r="F130" s="1"/>
      <c r="G130" s="1"/>
      <c r="H130" s="1"/>
      <c r="I130" s="1"/>
      <c r="J130" s="1"/>
      <c r="K130" s="1"/>
    </row>
    <row r="131" spans="1:11" ht="13.5" customHeight="1" x14ac:dyDescent="0.3">
      <c r="A131" s="1"/>
      <c r="B131" s="1"/>
      <c r="C131" s="1"/>
      <c r="D131" s="1"/>
      <c r="E131" s="1"/>
      <c r="F131" s="1"/>
      <c r="G131" s="1"/>
      <c r="H131" s="1"/>
      <c r="I131" s="1"/>
      <c r="J131" s="1"/>
      <c r="K131" s="1"/>
    </row>
    <row r="132" spans="1:11" ht="13.5" customHeight="1" x14ac:dyDescent="0.3">
      <c r="A132" s="1"/>
      <c r="B132" s="1"/>
      <c r="C132" s="1"/>
      <c r="D132" s="1"/>
      <c r="E132" s="1"/>
      <c r="F132" s="1"/>
      <c r="G132" s="1"/>
      <c r="H132" s="1"/>
      <c r="I132" s="1"/>
      <c r="J132" s="1"/>
      <c r="K132" s="1"/>
    </row>
    <row r="133" spans="1:11" ht="13.5" customHeight="1" x14ac:dyDescent="0.3">
      <c r="A133" s="1"/>
      <c r="B133" s="1"/>
      <c r="C133" s="1"/>
      <c r="D133" s="1"/>
      <c r="E133" s="1"/>
      <c r="F133" s="1"/>
      <c r="G133" s="1"/>
      <c r="H133" s="1"/>
      <c r="I133" s="1"/>
      <c r="J133" s="1"/>
      <c r="K133" s="1"/>
    </row>
    <row r="134" spans="1:11" ht="13.5" customHeight="1" x14ac:dyDescent="0.3">
      <c r="A134" s="1"/>
      <c r="B134" s="1"/>
      <c r="C134" s="1"/>
      <c r="D134" s="1"/>
      <c r="E134" s="1"/>
      <c r="F134" s="1"/>
      <c r="G134" s="1"/>
      <c r="H134" s="1"/>
      <c r="I134" s="1"/>
      <c r="J134" s="1"/>
      <c r="K134" s="1"/>
    </row>
    <row r="135" spans="1:11" ht="13.5" customHeight="1" x14ac:dyDescent="0.3">
      <c r="A135" s="1"/>
      <c r="B135" s="1"/>
      <c r="C135" s="1"/>
      <c r="D135" s="1"/>
      <c r="E135" s="1"/>
      <c r="F135" s="1"/>
      <c r="G135" s="1"/>
      <c r="H135" s="1"/>
      <c r="I135" s="1"/>
      <c r="J135" s="1"/>
      <c r="K135" s="1"/>
    </row>
    <row r="136" spans="1:11" ht="13.5" customHeight="1" x14ac:dyDescent="0.3">
      <c r="A136" s="1"/>
      <c r="B136" s="1"/>
      <c r="C136" s="1"/>
      <c r="D136" s="1"/>
      <c r="E136" s="1"/>
      <c r="F136" s="1"/>
      <c r="G136" s="1"/>
      <c r="H136" s="1"/>
      <c r="I136" s="1"/>
      <c r="J136" s="1"/>
      <c r="K136" s="1"/>
    </row>
    <row r="137" spans="1:11" ht="13.5" customHeight="1" x14ac:dyDescent="0.3">
      <c r="A137" s="1"/>
      <c r="B137" s="1"/>
      <c r="C137" s="1"/>
      <c r="D137" s="1"/>
      <c r="E137" s="1"/>
      <c r="F137" s="1"/>
      <c r="G137" s="1"/>
      <c r="H137" s="1"/>
      <c r="I137" s="1"/>
      <c r="J137" s="1"/>
      <c r="K137" s="1"/>
    </row>
    <row r="138" spans="1:11" ht="13.5" customHeight="1" x14ac:dyDescent="0.3">
      <c r="A138" s="1"/>
      <c r="B138" s="1"/>
      <c r="C138" s="1"/>
      <c r="D138" s="1"/>
      <c r="E138" s="1"/>
      <c r="F138" s="1"/>
      <c r="G138" s="1"/>
      <c r="H138" s="1"/>
      <c r="I138" s="1"/>
      <c r="J138" s="1"/>
      <c r="K138" s="1"/>
    </row>
    <row r="139" spans="1:11" ht="13.5" customHeight="1" x14ac:dyDescent="0.3">
      <c r="A139" s="1"/>
      <c r="B139" s="1"/>
      <c r="C139" s="1"/>
      <c r="D139" s="1"/>
      <c r="E139" s="1"/>
      <c r="F139" s="1"/>
      <c r="G139" s="1"/>
      <c r="H139" s="1"/>
      <c r="I139" s="1"/>
      <c r="J139" s="1"/>
      <c r="K139" s="1"/>
    </row>
    <row r="140" spans="1:11" ht="13.5" customHeight="1" x14ac:dyDescent="0.3">
      <c r="A140" s="1"/>
      <c r="B140" s="1"/>
      <c r="C140" s="1"/>
      <c r="D140" s="1"/>
      <c r="E140" s="1"/>
      <c r="F140" s="1"/>
      <c r="G140" s="1"/>
      <c r="H140" s="1"/>
      <c r="I140" s="1"/>
      <c r="J140" s="1"/>
      <c r="K140" s="1"/>
    </row>
    <row r="141" spans="1:11" ht="13.5" customHeight="1" x14ac:dyDescent="0.3">
      <c r="A141" s="1"/>
      <c r="B141" s="1"/>
      <c r="C141" s="1"/>
      <c r="D141" s="1"/>
      <c r="E141" s="1"/>
      <c r="F141" s="1"/>
      <c r="G141" s="1"/>
      <c r="H141" s="1"/>
      <c r="I141" s="1"/>
      <c r="J141" s="1"/>
      <c r="K141" s="1"/>
    </row>
    <row r="142" spans="1:11" ht="13.5" customHeight="1" x14ac:dyDescent="0.3">
      <c r="A142" s="1"/>
      <c r="B142" s="1"/>
      <c r="C142" s="1"/>
      <c r="D142" s="1"/>
      <c r="E142" s="1"/>
      <c r="F142" s="1"/>
      <c r="G142" s="1"/>
      <c r="H142" s="1"/>
      <c r="I142" s="1"/>
      <c r="J142" s="1"/>
      <c r="K142" s="1"/>
    </row>
    <row r="143" spans="1:11" ht="13.5" customHeight="1" x14ac:dyDescent="0.3">
      <c r="A143" s="1"/>
      <c r="B143" s="1"/>
      <c r="C143" s="1"/>
      <c r="D143" s="1"/>
      <c r="E143" s="1"/>
      <c r="F143" s="1"/>
      <c r="G143" s="1"/>
      <c r="H143" s="1"/>
      <c r="I143" s="1"/>
      <c r="J143" s="1"/>
      <c r="K143" s="1"/>
    </row>
    <row r="144" spans="1:11" ht="13.5" customHeight="1" x14ac:dyDescent="0.3">
      <c r="A144" s="1"/>
      <c r="B144" s="1"/>
      <c r="C144" s="1"/>
      <c r="D144" s="1"/>
      <c r="E144" s="1"/>
      <c r="F144" s="1"/>
      <c r="G144" s="1"/>
      <c r="H144" s="1"/>
      <c r="I144" s="1"/>
      <c r="J144" s="1"/>
      <c r="K144" s="1"/>
    </row>
    <row r="145" spans="1:11" ht="13.5" customHeight="1" x14ac:dyDescent="0.3">
      <c r="A145" s="1"/>
      <c r="B145" s="1"/>
      <c r="C145" s="1"/>
      <c r="D145" s="1"/>
      <c r="E145" s="1"/>
      <c r="F145" s="1"/>
      <c r="G145" s="1"/>
      <c r="H145" s="1"/>
      <c r="I145" s="1"/>
      <c r="J145" s="1"/>
      <c r="K145" s="1"/>
    </row>
    <row r="146" spans="1:11" ht="13.5" customHeight="1" x14ac:dyDescent="0.3">
      <c r="A146" s="1"/>
      <c r="B146" s="1"/>
      <c r="C146" s="1"/>
      <c r="D146" s="1"/>
      <c r="E146" s="1"/>
      <c r="F146" s="1"/>
      <c r="G146" s="1"/>
      <c r="H146" s="1"/>
      <c r="I146" s="1"/>
      <c r="J146" s="1"/>
      <c r="K146" s="1"/>
    </row>
    <row r="147" spans="1:11" ht="13.5" customHeight="1" x14ac:dyDescent="0.3">
      <c r="A147" s="1"/>
      <c r="B147" s="1"/>
      <c r="C147" s="1"/>
      <c r="D147" s="1"/>
      <c r="E147" s="1"/>
      <c r="F147" s="1"/>
      <c r="G147" s="1"/>
      <c r="H147" s="1"/>
      <c r="I147" s="1"/>
      <c r="J147" s="1"/>
      <c r="K147" s="1"/>
    </row>
    <row r="148" spans="1:11" ht="13.5" customHeight="1" x14ac:dyDescent="0.3">
      <c r="A148" s="1"/>
      <c r="B148" s="1"/>
      <c r="C148" s="1"/>
      <c r="D148" s="1"/>
      <c r="E148" s="1"/>
      <c r="F148" s="1"/>
      <c r="G148" s="1"/>
      <c r="H148" s="1"/>
      <c r="I148" s="1"/>
      <c r="J148" s="1"/>
      <c r="K148" s="1"/>
    </row>
    <row r="149" spans="1:11" ht="13.5" customHeight="1" x14ac:dyDescent="0.3">
      <c r="A149" s="1"/>
      <c r="B149" s="1"/>
      <c r="C149" s="1"/>
      <c r="D149" s="1"/>
      <c r="E149" s="1"/>
      <c r="F149" s="1"/>
      <c r="G149" s="1"/>
      <c r="H149" s="1"/>
      <c r="I149" s="1"/>
      <c r="J149" s="1"/>
      <c r="K149" s="1"/>
    </row>
    <row r="150" spans="1:11" ht="13.5" customHeight="1" x14ac:dyDescent="0.3">
      <c r="A150" s="1"/>
      <c r="B150" s="1"/>
      <c r="C150" s="1"/>
      <c r="D150" s="1"/>
      <c r="E150" s="1"/>
      <c r="F150" s="1"/>
      <c r="G150" s="1"/>
      <c r="H150" s="1"/>
      <c r="I150" s="1"/>
      <c r="J150" s="1"/>
      <c r="K150" s="1"/>
    </row>
    <row r="151" spans="1:11" ht="13.5" customHeight="1" x14ac:dyDescent="0.3">
      <c r="A151" s="1"/>
      <c r="B151" s="1"/>
      <c r="C151" s="1"/>
      <c r="D151" s="1"/>
      <c r="E151" s="1"/>
      <c r="F151" s="1"/>
      <c r="G151" s="1"/>
      <c r="H151" s="1"/>
      <c r="I151" s="1"/>
      <c r="J151" s="1"/>
      <c r="K151" s="1"/>
    </row>
    <row r="152" spans="1:11" ht="13.5" customHeight="1" x14ac:dyDescent="0.3">
      <c r="A152" s="1"/>
      <c r="B152" s="1"/>
      <c r="C152" s="1"/>
      <c r="D152" s="1"/>
      <c r="E152" s="1"/>
      <c r="F152" s="1"/>
      <c r="G152" s="1"/>
      <c r="H152" s="1"/>
      <c r="I152" s="1"/>
      <c r="J152" s="1"/>
      <c r="K152" s="1"/>
    </row>
    <row r="153" spans="1:11" ht="13.5" customHeight="1" x14ac:dyDescent="0.3">
      <c r="A153" s="1"/>
      <c r="B153" s="1"/>
      <c r="C153" s="1"/>
      <c r="D153" s="1"/>
      <c r="E153" s="1"/>
      <c r="F153" s="1"/>
      <c r="G153" s="1"/>
      <c r="H153" s="1"/>
      <c r="I153" s="1"/>
      <c r="J153" s="1"/>
      <c r="K153" s="1"/>
    </row>
    <row r="154" spans="1:11" ht="13.5" customHeight="1" x14ac:dyDescent="0.3">
      <c r="A154" s="1"/>
      <c r="B154" s="1"/>
      <c r="C154" s="1"/>
      <c r="D154" s="1"/>
      <c r="E154" s="1"/>
      <c r="F154" s="1"/>
      <c r="G154" s="1"/>
      <c r="H154" s="1"/>
      <c r="I154" s="1"/>
      <c r="J154" s="1"/>
      <c r="K154" s="1"/>
    </row>
    <row r="155" spans="1:11" ht="13.5" customHeight="1" x14ac:dyDescent="0.3">
      <c r="A155" s="1"/>
      <c r="B155" s="1"/>
      <c r="C155" s="1"/>
      <c r="D155" s="1"/>
      <c r="E155" s="1"/>
      <c r="F155" s="1"/>
      <c r="G155" s="1"/>
      <c r="H155" s="1"/>
      <c r="I155" s="1"/>
      <c r="J155" s="1"/>
      <c r="K155" s="1"/>
    </row>
    <row r="156" spans="1:11" ht="13.5" customHeight="1" x14ac:dyDescent="0.3">
      <c r="A156" s="1"/>
      <c r="B156" s="1"/>
      <c r="C156" s="1"/>
      <c r="D156" s="1"/>
      <c r="E156" s="1"/>
      <c r="F156" s="1"/>
      <c r="G156" s="1"/>
      <c r="H156" s="1"/>
      <c r="I156" s="1"/>
      <c r="J156" s="1"/>
      <c r="K156" s="1"/>
    </row>
    <row r="157" spans="1:11" ht="13.5" customHeight="1" x14ac:dyDescent="0.3">
      <c r="A157" s="1"/>
      <c r="B157" s="1"/>
      <c r="C157" s="1"/>
      <c r="D157" s="1"/>
      <c r="E157" s="1"/>
      <c r="F157" s="1"/>
      <c r="G157" s="1"/>
      <c r="H157" s="1"/>
      <c r="I157" s="1"/>
      <c r="J157" s="1"/>
      <c r="K157" s="1"/>
    </row>
    <row r="158" spans="1:11" ht="13.5" customHeight="1" x14ac:dyDescent="0.3">
      <c r="A158" s="1"/>
      <c r="B158" s="1"/>
      <c r="C158" s="1"/>
      <c r="D158" s="1"/>
      <c r="E158" s="1"/>
      <c r="F158" s="1"/>
      <c r="G158" s="1"/>
      <c r="H158" s="1"/>
      <c r="I158" s="1"/>
      <c r="J158" s="1"/>
      <c r="K158" s="1"/>
    </row>
    <row r="159" spans="1:11" ht="13.5" customHeight="1" x14ac:dyDescent="0.3">
      <c r="A159" s="1"/>
      <c r="B159" s="1"/>
      <c r="C159" s="1"/>
      <c r="D159" s="1"/>
      <c r="E159" s="1"/>
      <c r="F159" s="1"/>
      <c r="G159" s="1"/>
      <c r="H159" s="1"/>
      <c r="I159" s="1"/>
      <c r="J159" s="1"/>
      <c r="K159" s="1"/>
    </row>
    <row r="160" spans="1:11" ht="13.5" customHeight="1" x14ac:dyDescent="0.3">
      <c r="A160" s="1"/>
      <c r="B160" s="1"/>
      <c r="C160" s="1"/>
      <c r="D160" s="1"/>
      <c r="E160" s="1"/>
      <c r="F160" s="1"/>
      <c r="G160" s="1"/>
      <c r="H160" s="1"/>
      <c r="I160" s="1"/>
      <c r="J160" s="1"/>
      <c r="K160" s="1"/>
    </row>
    <row r="161" spans="1:11" ht="13.5" customHeight="1" x14ac:dyDescent="0.3">
      <c r="A161" s="1"/>
      <c r="B161" s="1"/>
      <c r="C161" s="1"/>
      <c r="D161" s="1"/>
      <c r="E161" s="1"/>
      <c r="F161" s="1"/>
      <c r="G161" s="1"/>
      <c r="H161" s="1"/>
      <c r="I161" s="1"/>
      <c r="J161" s="1"/>
      <c r="K161" s="1"/>
    </row>
    <row r="162" spans="1:11" ht="13.5" customHeight="1" x14ac:dyDescent="0.3">
      <c r="A162" s="1"/>
      <c r="B162" s="1"/>
      <c r="C162" s="1"/>
      <c r="D162" s="1"/>
      <c r="E162" s="1"/>
      <c r="F162" s="1"/>
      <c r="G162" s="1"/>
      <c r="H162" s="1"/>
      <c r="I162" s="1"/>
      <c r="J162" s="1"/>
      <c r="K162" s="1"/>
    </row>
    <row r="163" spans="1:11" ht="13.5" customHeight="1" x14ac:dyDescent="0.3">
      <c r="A163" s="1"/>
      <c r="B163" s="1"/>
      <c r="C163" s="1"/>
      <c r="D163" s="1"/>
      <c r="E163" s="1"/>
      <c r="F163" s="1"/>
      <c r="G163" s="1"/>
      <c r="H163" s="1"/>
      <c r="I163" s="1"/>
      <c r="J163" s="1"/>
      <c r="K163" s="1"/>
    </row>
    <row r="164" spans="1:11" ht="13.5" customHeight="1" x14ac:dyDescent="0.3">
      <c r="A164" s="1"/>
      <c r="B164" s="1"/>
      <c r="C164" s="1"/>
      <c r="D164" s="1"/>
      <c r="E164" s="1"/>
      <c r="F164" s="1"/>
      <c r="G164" s="1"/>
      <c r="H164" s="1"/>
      <c r="I164" s="1"/>
      <c r="J164" s="1"/>
      <c r="K164" s="1"/>
    </row>
    <row r="165" spans="1:11" ht="13.5" customHeight="1" x14ac:dyDescent="0.3">
      <c r="A165" s="1"/>
      <c r="B165" s="1"/>
      <c r="C165" s="1"/>
      <c r="D165" s="1"/>
      <c r="E165" s="1"/>
      <c r="F165" s="1"/>
      <c r="G165" s="1"/>
      <c r="H165" s="1"/>
      <c r="I165" s="1"/>
      <c r="J165" s="1"/>
      <c r="K165" s="1"/>
    </row>
    <row r="166" spans="1:11" ht="13.5" customHeight="1" x14ac:dyDescent="0.3">
      <c r="A166" s="1"/>
      <c r="B166" s="1"/>
      <c r="C166" s="1"/>
      <c r="D166" s="1"/>
      <c r="E166" s="1"/>
      <c r="F166" s="1"/>
      <c r="G166" s="1"/>
      <c r="H166" s="1"/>
      <c r="I166" s="1"/>
      <c r="J166" s="1"/>
      <c r="K166" s="1"/>
    </row>
    <row r="167" spans="1:11" ht="13.5" customHeight="1" x14ac:dyDescent="0.3">
      <c r="A167" s="1"/>
      <c r="B167" s="1"/>
      <c r="C167" s="1"/>
      <c r="D167" s="1"/>
      <c r="E167" s="1"/>
      <c r="F167" s="1"/>
      <c r="G167" s="1"/>
      <c r="H167" s="1"/>
      <c r="I167" s="1"/>
      <c r="J167" s="1"/>
      <c r="K167" s="1"/>
    </row>
    <row r="168" spans="1:11" ht="13.5" customHeight="1" x14ac:dyDescent="0.3">
      <c r="A168" s="1"/>
      <c r="B168" s="1"/>
      <c r="C168" s="1"/>
      <c r="D168" s="1"/>
      <c r="E168" s="1"/>
      <c r="F168" s="1"/>
      <c r="G168" s="1"/>
      <c r="H168" s="1"/>
      <c r="I168" s="1"/>
      <c r="J168" s="1"/>
      <c r="K168" s="1"/>
    </row>
    <row r="169" spans="1:11" ht="13.5" customHeight="1" x14ac:dyDescent="0.3">
      <c r="A169" s="1"/>
      <c r="B169" s="1"/>
      <c r="C169" s="1"/>
      <c r="D169" s="1"/>
      <c r="E169" s="1"/>
      <c r="F169" s="1"/>
      <c r="G169" s="1"/>
      <c r="H169" s="1"/>
      <c r="I169" s="1"/>
      <c r="J169" s="1"/>
      <c r="K169" s="1"/>
    </row>
    <row r="170" spans="1:11" ht="13.5" customHeight="1" x14ac:dyDescent="0.3">
      <c r="A170" s="1"/>
      <c r="B170" s="1"/>
      <c r="C170" s="1"/>
      <c r="D170" s="1"/>
      <c r="E170" s="1"/>
      <c r="F170" s="1"/>
      <c r="G170" s="1"/>
      <c r="H170" s="1"/>
      <c r="I170" s="1"/>
      <c r="J170" s="1"/>
      <c r="K170" s="1"/>
    </row>
    <row r="171" spans="1:11" ht="13.5" customHeight="1" x14ac:dyDescent="0.3">
      <c r="A171" s="1"/>
      <c r="B171" s="1"/>
      <c r="C171" s="1"/>
      <c r="D171" s="1"/>
      <c r="E171" s="1"/>
      <c r="F171" s="1"/>
      <c r="G171" s="1"/>
      <c r="H171" s="1"/>
      <c r="I171" s="1"/>
      <c r="J171" s="1"/>
      <c r="K171" s="1"/>
    </row>
    <row r="172" spans="1:11" ht="13.5" customHeight="1" x14ac:dyDescent="0.3">
      <c r="A172" s="1"/>
      <c r="B172" s="1"/>
      <c r="C172" s="1"/>
      <c r="D172" s="1"/>
      <c r="E172" s="1"/>
      <c r="F172" s="1"/>
      <c r="G172" s="1"/>
      <c r="H172" s="1"/>
      <c r="I172" s="1"/>
      <c r="J172" s="1"/>
      <c r="K172" s="1"/>
    </row>
    <row r="173" spans="1:11" ht="13.5" customHeight="1" x14ac:dyDescent="0.3">
      <c r="A173" s="1"/>
      <c r="B173" s="1"/>
      <c r="C173" s="1"/>
      <c r="D173" s="1"/>
      <c r="E173" s="1"/>
      <c r="F173" s="1"/>
      <c r="G173" s="1"/>
      <c r="H173" s="1"/>
      <c r="I173" s="1"/>
      <c r="J173" s="1"/>
      <c r="K173" s="1"/>
    </row>
    <row r="174" spans="1:11" ht="13.5" customHeight="1" x14ac:dyDescent="0.3">
      <c r="A174" s="1"/>
      <c r="B174" s="1"/>
      <c r="C174" s="1"/>
      <c r="D174" s="1"/>
      <c r="E174" s="1"/>
      <c r="F174" s="1"/>
      <c r="G174" s="1"/>
      <c r="H174" s="1"/>
      <c r="I174" s="1"/>
      <c r="J174" s="1"/>
      <c r="K174" s="1"/>
    </row>
    <row r="175" spans="1:11" ht="13.5" customHeight="1" x14ac:dyDescent="0.3">
      <c r="A175" s="1"/>
      <c r="B175" s="1"/>
      <c r="C175" s="1"/>
      <c r="D175" s="1"/>
      <c r="E175" s="1"/>
      <c r="F175" s="1"/>
      <c r="G175" s="1"/>
      <c r="H175" s="1"/>
      <c r="I175" s="1"/>
      <c r="J175" s="1"/>
      <c r="K175" s="1"/>
    </row>
    <row r="176" spans="1:11" ht="13.5" customHeight="1" x14ac:dyDescent="0.3">
      <c r="A176" s="1"/>
      <c r="B176" s="1"/>
      <c r="C176" s="1"/>
      <c r="D176" s="1"/>
      <c r="E176" s="1"/>
      <c r="F176" s="1"/>
      <c r="G176" s="1"/>
      <c r="H176" s="1"/>
      <c r="I176" s="1"/>
      <c r="J176" s="1"/>
      <c r="K176" s="1"/>
    </row>
    <row r="177" spans="1:11" ht="13.5" customHeight="1" x14ac:dyDescent="0.3">
      <c r="A177" s="1"/>
      <c r="B177" s="1"/>
      <c r="C177" s="1"/>
      <c r="D177" s="1"/>
      <c r="E177" s="1"/>
      <c r="F177" s="1"/>
      <c r="G177" s="1"/>
      <c r="H177" s="1"/>
      <c r="I177" s="1"/>
      <c r="J177" s="1"/>
      <c r="K177" s="1"/>
    </row>
    <row r="178" spans="1:11" ht="13.5" customHeight="1" x14ac:dyDescent="0.3">
      <c r="A178" s="1"/>
      <c r="B178" s="1"/>
      <c r="C178" s="1"/>
      <c r="D178" s="1"/>
      <c r="E178" s="1"/>
      <c r="F178" s="1"/>
      <c r="G178" s="1"/>
      <c r="H178" s="1"/>
      <c r="I178" s="1"/>
      <c r="J178" s="1"/>
      <c r="K178" s="1"/>
    </row>
    <row r="179" spans="1:11" ht="13.5" customHeight="1" x14ac:dyDescent="0.3">
      <c r="A179" s="1"/>
      <c r="B179" s="1"/>
      <c r="C179" s="1"/>
      <c r="D179" s="1"/>
      <c r="E179" s="1"/>
      <c r="F179" s="1"/>
      <c r="G179" s="1"/>
      <c r="H179" s="1"/>
      <c r="I179" s="1"/>
      <c r="J179" s="1"/>
      <c r="K179" s="1"/>
    </row>
    <row r="180" spans="1:11" ht="13.5" customHeight="1" x14ac:dyDescent="0.3">
      <c r="A180" s="1"/>
      <c r="B180" s="1"/>
      <c r="C180" s="1"/>
      <c r="D180" s="1"/>
      <c r="E180" s="1"/>
      <c r="F180" s="1"/>
      <c r="G180" s="1"/>
      <c r="H180" s="1"/>
      <c r="I180" s="1"/>
      <c r="J180" s="1"/>
      <c r="K180" s="1"/>
    </row>
    <row r="181" spans="1:11" ht="13.5" customHeight="1" x14ac:dyDescent="0.3">
      <c r="A181" s="1"/>
      <c r="B181" s="1"/>
      <c r="C181" s="1"/>
      <c r="D181" s="1"/>
      <c r="E181" s="1"/>
      <c r="F181" s="1"/>
      <c r="G181" s="1"/>
      <c r="H181" s="1"/>
      <c r="I181" s="1"/>
      <c r="J181" s="1"/>
      <c r="K181" s="1"/>
    </row>
    <row r="182" spans="1:11" ht="13.5" customHeight="1" x14ac:dyDescent="0.3">
      <c r="A182" s="1"/>
      <c r="B182" s="1"/>
      <c r="C182" s="1"/>
      <c r="D182" s="1"/>
      <c r="E182" s="1"/>
      <c r="F182" s="1"/>
      <c r="G182" s="1"/>
      <c r="H182" s="1"/>
      <c r="I182" s="1"/>
      <c r="J182" s="1"/>
      <c r="K182" s="1"/>
    </row>
    <row r="183" spans="1:11" ht="13.5" customHeight="1" x14ac:dyDescent="0.3">
      <c r="A183" s="1"/>
      <c r="B183" s="1"/>
      <c r="C183" s="1"/>
      <c r="D183" s="1"/>
      <c r="E183" s="1"/>
      <c r="F183" s="1"/>
      <c r="G183" s="1"/>
      <c r="H183" s="1"/>
      <c r="I183" s="1"/>
      <c r="J183" s="1"/>
      <c r="K183" s="1"/>
    </row>
    <row r="184" spans="1:11" ht="13.5" customHeight="1" x14ac:dyDescent="0.3">
      <c r="A184" s="1"/>
      <c r="B184" s="1"/>
      <c r="C184" s="1"/>
      <c r="D184" s="1"/>
      <c r="E184" s="1"/>
      <c r="F184" s="1"/>
      <c r="G184" s="1"/>
      <c r="H184" s="1"/>
      <c r="I184" s="1"/>
      <c r="J184" s="1"/>
      <c r="K184" s="1"/>
    </row>
    <row r="185" spans="1:11" ht="13.5" customHeight="1" x14ac:dyDescent="0.3">
      <c r="A185" s="1"/>
      <c r="B185" s="1"/>
      <c r="C185" s="1"/>
      <c r="D185" s="1"/>
      <c r="E185" s="1"/>
      <c r="F185" s="1"/>
      <c r="G185" s="1"/>
      <c r="H185" s="1"/>
      <c r="I185" s="1"/>
      <c r="J185" s="1"/>
      <c r="K185" s="1"/>
    </row>
    <row r="186" spans="1:11" ht="13.5" customHeight="1" x14ac:dyDescent="0.3">
      <c r="A186" s="1"/>
      <c r="B186" s="1"/>
      <c r="C186" s="1"/>
      <c r="D186" s="1"/>
      <c r="E186" s="1"/>
      <c r="F186" s="1"/>
      <c r="G186" s="1"/>
      <c r="H186" s="1"/>
      <c r="I186" s="1"/>
      <c r="J186" s="1"/>
      <c r="K186" s="1"/>
    </row>
    <row r="187" spans="1:11" ht="13.5" customHeight="1" x14ac:dyDescent="0.3">
      <c r="A187" s="1"/>
      <c r="B187" s="1"/>
      <c r="C187" s="1"/>
      <c r="D187" s="1"/>
      <c r="E187" s="1"/>
      <c r="F187" s="1"/>
      <c r="G187" s="1"/>
      <c r="H187" s="1"/>
      <c r="I187" s="1"/>
      <c r="J187" s="1"/>
      <c r="K187" s="1"/>
    </row>
    <row r="188" spans="1:11" ht="13.5" customHeight="1" x14ac:dyDescent="0.3">
      <c r="A188" s="1"/>
      <c r="B188" s="1"/>
      <c r="C188" s="1"/>
      <c r="D188" s="1"/>
      <c r="E188" s="1"/>
      <c r="F188" s="1"/>
      <c r="G188" s="1"/>
      <c r="H188" s="1"/>
      <c r="I188" s="1"/>
      <c r="J188" s="1"/>
      <c r="K188" s="1"/>
    </row>
    <row r="189" spans="1:11" ht="13.5" customHeight="1" x14ac:dyDescent="0.3">
      <c r="A189" s="1"/>
      <c r="B189" s="1"/>
      <c r="C189" s="1"/>
      <c r="D189" s="1"/>
      <c r="E189" s="1"/>
      <c r="F189" s="1"/>
      <c r="G189" s="1"/>
      <c r="H189" s="1"/>
      <c r="I189" s="1"/>
      <c r="J189" s="1"/>
      <c r="K189" s="1"/>
    </row>
    <row r="190" spans="1:11" ht="13.5" customHeight="1" x14ac:dyDescent="0.3">
      <c r="A190" s="1"/>
      <c r="B190" s="1"/>
      <c r="C190" s="1"/>
      <c r="D190" s="1"/>
      <c r="E190" s="1"/>
      <c r="F190" s="1"/>
      <c r="G190" s="1"/>
      <c r="H190" s="1"/>
      <c r="I190" s="1"/>
      <c r="J190" s="1"/>
      <c r="K190" s="1"/>
    </row>
    <row r="191" spans="1:11" ht="13.5" customHeight="1" x14ac:dyDescent="0.3">
      <c r="A191" s="1"/>
      <c r="B191" s="1"/>
      <c r="C191" s="1"/>
      <c r="D191" s="1"/>
      <c r="E191" s="1"/>
      <c r="F191" s="1"/>
      <c r="G191" s="1"/>
      <c r="H191" s="1"/>
      <c r="I191" s="1"/>
      <c r="J191" s="1"/>
      <c r="K191" s="1"/>
    </row>
    <row r="192" spans="1:11" ht="13.5" customHeight="1" x14ac:dyDescent="0.3">
      <c r="A192" s="1"/>
      <c r="B192" s="1"/>
      <c r="C192" s="1"/>
      <c r="D192" s="1"/>
      <c r="E192" s="1"/>
      <c r="F192" s="1"/>
      <c r="G192" s="1"/>
      <c r="H192" s="1"/>
      <c r="I192" s="1"/>
      <c r="J192" s="1"/>
      <c r="K192" s="1"/>
    </row>
    <row r="193" spans="1:11" ht="13.5" customHeight="1" x14ac:dyDescent="0.3">
      <c r="A193" s="1"/>
      <c r="B193" s="1"/>
      <c r="C193" s="1"/>
      <c r="D193" s="1"/>
      <c r="E193" s="1"/>
      <c r="F193" s="1"/>
      <c r="G193" s="1"/>
      <c r="H193" s="1"/>
      <c r="I193" s="1"/>
      <c r="J193" s="1"/>
      <c r="K193" s="1"/>
    </row>
    <row r="194" spans="1:11" ht="13.5" customHeight="1" x14ac:dyDescent="0.3">
      <c r="A194" s="1"/>
      <c r="B194" s="1"/>
      <c r="C194" s="1"/>
      <c r="D194" s="1"/>
      <c r="E194" s="1"/>
      <c r="F194" s="1"/>
      <c r="G194" s="1"/>
      <c r="H194" s="1"/>
      <c r="I194" s="1"/>
      <c r="J194" s="1"/>
      <c r="K194" s="1"/>
    </row>
    <row r="195" spans="1:11" ht="13.5" customHeight="1" x14ac:dyDescent="0.3">
      <c r="A195" s="1"/>
      <c r="B195" s="1"/>
      <c r="C195" s="1"/>
      <c r="D195" s="1"/>
      <c r="E195" s="1"/>
      <c r="F195" s="1"/>
      <c r="G195" s="1"/>
      <c r="H195" s="1"/>
      <c r="I195" s="1"/>
      <c r="J195" s="1"/>
      <c r="K195" s="1"/>
    </row>
    <row r="196" spans="1:11" ht="13.5" customHeight="1" x14ac:dyDescent="0.3">
      <c r="A196" s="1"/>
      <c r="B196" s="1"/>
      <c r="C196" s="1"/>
      <c r="D196" s="1"/>
      <c r="E196" s="1"/>
      <c r="F196" s="1"/>
      <c r="G196" s="1"/>
      <c r="H196" s="1"/>
      <c r="I196" s="1"/>
      <c r="J196" s="1"/>
      <c r="K196" s="1"/>
    </row>
    <row r="197" spans="1:11" ht="13.5" customHeight="1" x14ac:dyDescent="0.3">
      <c r="A197" s="1"/>
      <c r="B197" s="1"/>
      <c r="C197" s="1"/>
      <c r="D197" s="1"/>
      <c r="E197" s="1"/>
      <c r="F197" s="1"/>
      <c r="G197" s="1"/>
      <c r="H197" s="1"/>
      <c r="I197" s="1"/>
      <c r="J197" s="1"/>
      <c r="K197" s="1"/>
    </row>
    <row r="198" spans="1:11" ht="13.5" customHeight="1" x14ac:dyDescent="0.3">
      <c r="A198" s="1"/>
      <c r="B198" s="1"/>
      <c r="C198" s="1"/>
      <c r="D198" s="1"/>
      <c r="E198" s="1"/>
      <c r="F198" s="1"/>
      <c r="G198" s="1"/>
      <c r="H198" s="1"/>
      <c r="I198" s="1"/>
      <c r="J198" s="1"/>
      <c r="K198" s="1"/>
    </row>
    <row r="199" spans="1:11" ht="13.5" customHeight="1" x14ac:dyDescent="0.3">
      <c r="A199" s="1"/>
      <c r="B199" s="1"/>
      <c r="C199" s="1"/>
      <c r="D199" s="1"/>
      <c r="E199" s="1"/>
      <c r="F199" s="1"/>
      <c r="G199" s="1"/>
      <c r="H199" s="1"/>
      <c r="I199" s="1"/>
      <c r="J199" s="1"/>
      <c r="K199" s="1"/>
    </row>
    <row r="200" spans="1:11" ht="13.5" customHeight="1" x14ac:dyDescent="0.3">
      <c r="A200" s="1"/>
      <c r="B200" s="1"/>
      <c r="C200" s="1"/>
      <c r="D200" s="1"/>
      <c r="E200" s="1"/>
      <c r="F200" s="1"/>
      <c r="G200" s="1"/>
      <c r="H200" s="1"/>
      <c r="I200" s="1"/>
      <c r="J200" s="1"/>
      <c r="K200" s="1"/>
    </row>
    <row r="201" spans="1:11" ht="13.5" customHeight="1" x14ac:dyDescent="0.3">
      <c r="A201" s="1"/>
      <c r="B201" s="1"/>
      <c r="C201" s="1"/>
      <c r="D201" s="1"/>
      <c r="E201" s="1"/>
      <c r="F201" s="1"/>
      <c r="G201" s="1"/>
      <c r="H201" s="1"/>
      <c r="I201" s="1"/>
      <c r="J201" s="1"/>
      <c r="K201" s="1"/>
    </row>
    <row r="202" spans="1:11" ht="13.5" customHeight="1" x14ac:dyDescent="0.3">
      <c r="A202" s="1"/>
      <c r="B202" s="1"/>
      <c r="C202" s="1"/>
      <c r="D202" s="1"/>
      <c r="E202" s="1"/>
      <c r="F202" s="1"/>
      <c r="G202" s="1"/>
      <c r="H202" s="1"/>
      <c r="I202" s="1"/>
      <c r="J202" s="1"/>
      <c r="K202" s="1"/>
    </row>
    <row r="203" spans="1:11" ht="13.5" customHeight="1" x14ac:dyDescent="0.3">
      <c r="A203" s="1"/>
      <c r="B203" s="1"/>
      <c r="C203" s="1"/>
      <c r="D203" s="1"/>
      <c r="E203" s="1"/>
      <c r="F203" s="1"/>
      <c r="G203" s="1"/>
      <c r="H203" s="1"/>
      <c r="I203" s="1"/>
      <c r="J203" s="1"/>
      <c r="K203" s="1"/>
    </row>
    <row r="204" spans="1:11" ht="13.5" customHeight="1" x14ac:dyDescent="0.3">
      <c r="A204" s="1"/>
      <c r="B204" s="1"/>
      <c r="C204" s="1"/>
      <c r="D204" s="1"/>
      <c r="E204" s="1"/>
      <c r="F204" s="1"/>
      <c r="G204" s="1"/>
      <c r="H204" s="1"/>
      <c r="I204" s="1"/>
      <c r="J204" s="1"/>
      <c r="K204" s="1"/>
    </row>
    <row r="205" spans="1:11" ht="13.5" customHeight="1" x14ac:dyDescent="0.3">
      <c r="A205" s="1"/>
      <c r="B205" s="1"/>
      <c r="C205" s="1"/>
      <c r="D205" s="1"/>
      <c r="E205" s="1"/>
      <c r="F205" s="1"/>
      <c r="G205" s="1"/>
      <c r="H205" s="1"/>
      <c r="I205" s="1"/>
      <c r="J205" s="1"/>
      <c r="K205" s="1"/>
    </row>
    <row r="206" spans="1:11" ht="13.5" customHeight="1" x14ac:dyDescent="0.3">
      <c r="A206" s="1"/>
      <c r="B206" s="1"/>
      <c r="C206" s="1"/>
      <c r="D206" s="1"/>
      <c r="E206" s="1"/>
      <c r="F206" s="1"/>
      <c r="G206" s="1"/>
      <c r="H206" s="1"/>
      <c r="I206" s="1"/>
      <c r="J206" s="1"/>
      <c r="K206" s="1"/>
    </row>
    <row r="207" spans="1:11" ht="13.5" customHeight="1" x14ac:dyDescent="0.3">
      <c r="A207" s="1"/>
      <c r="B207" s="1"/>
      <c r="C207" s="1"/>
      <c r="D207" s="1"/>
      <c r="E207" s="1"/>
      <c r="F207" s="1"/>
      <c r="G207" s="1"/>
      <c r="H207" s="1"/>
      <c r="I207" s="1"/>
      <c r="J207" s="1"/>
      <c r="K207" s="1"/>
    </row>
    <row r="208" spans="1:11" ht="13.5" customHeight="1" x14ac:dyDescent="0.3">
      <c r="A208" s="1"/>
      <c r="B208" s="1"/>
      <c r="C208" s="1"/>
      <c r="D208" s="1"/>
      <c r="E208" s="1"/>
      <c r="F208" s="1"/>
      <c r="G208" s="1"/>
      <c r="H208" s="1"/>
      <c r="I208" s="1"/>
      <c r="J208" s="1"/>
      <c r="K208" s="1"/>
    </row>
    <row r="209" spans="1:11" ht="13.5" customHeight="1" x14ac:dyDescent="0.3">
      <c r="A209" s="1"/>
      <c r="B209" s="1"/>
      <c r="C209" s="1"/>
      <c r="D209" s="1"/>
      <c r="E209" s="1"/>
      <c r="F209" s="1"/>
      <c r="G209" s="1"/>
      <c r="H209" s="1"/>
      <c r="I209" s="1"/>
      <c r="J209" s="1"/>
      <c r="K209" s="1"/>
    </row>
    <row r="210" spans="1:11" ht="13.5" customHeight="1" x14ac:dyDescent="0.3">
      <c r="A210" s="1"/>
      <c r="B210" s="1"/>
      <c r="C210" s="1"/>
      <c r="D210" s="1"/>
      <c r="E210" s="1"/>
      <c r="F210" s="1"/>
      <c r="G210" s="1"/>
      <c r="H210" s="1"/>
      <c r="I210" s="1"/>
      <c r="J210" s="1"/>
      <c r="K210" s="1"/>
    </row>
    <row r="211" spans="1:11" ht="13.5" customHeight="1" x14ac:dyDescent="0.3">
      <c r="A211" s="1"/>
      <c r="B211" s="1"/>
      <c r="C211" s="1"/>
      <c r="D211" s="1"/>
      <c r="E211" s="1"/>
      <c r="F211" s="1"/>
      <c r="G211" s="1"/>
      <c r="H211" s="1"/>
      <c r="I211" s="1"/>
      <c r="J211" s="1"/>
      <c r="K211" s="1"/>
    </row>
    <row r="212" spans="1:11" ht="13.5" customHeight="1" x14ac:dyDescent="0.3">
      <c r="A212" s="1"/>
      <c r="B212" s="1"/>
      <c r="C212" s="1"/>
      <c r="D212" s="1"/>
      <c r="E212" s="1"/>
      <c r="F212" s="1"/>
      <c r="G212" s="1"/>
      <c r="H212" s="1"/>
      <c r="I212" s="1"/>
      <c r="J212" s="1"/>
      <c r="K212" s="1"/>
    </row>
    <row r="213" spans="1:11" ht="13.5" customHeight="1" x14ac:dyDescent="0.3">
      <c r="A213" s="1"/>
      <c r="B213" s="1"/>
      <c r="C213" s="1"/>
      <c r="D213" s="1"/>
      <c r="E213" s="1"/>
      <c r="F213" s="1"/>
      <c r="G213" s="1"/>
      <c r="H213" s="1"/>
      <c r="I213" s="1"/>
      <c r="J213" s="1"/>
      <c r="K213" s="1"/>
    </row>
    <row r="214" spans="1:11" ht="13.5" customHeight="1" x14ac:dyDescent="0.3">
      <c r="A214" s="1"/>
      <c r="B214" s="1"/>
      <c r="C214" s="1"/>
      <c r="D214" s="1"/>
      <c r="E214" s="1"/>
      <c r="F214" s="1"/>
      <c r="G214" s="1"/>
      <c r="H214" s="1"/>
      <c r="I214" s="1"/>
      <c r="J214" s="1"/>
      <c r="K214" s="1"/>
    </row>
    <row r="215" spans="1:11" ht="13.5" customHeight="1" x14ac:dyDescent="0.3">
      <c r="A215" s="1"/>
      <c r="B215" s="1"/>
      <c r="C215" s="1"/>
      <c r="D215" s="1"/>
      <c r="E215" s="1"/>
      <c r="F215" s="1"/>
      <c r="G215" s="1"/>
      <c r="H215" s="1"/>
      <c r="I215" s="1"/>
      <c r="J215" s="1"/>
      <c r="K215" s="1"/>
    </row>
    <row r="216" spans="1:11" ht="13.5" customHeight="1" x14ac:dyDescent="0.3">
      <c r="A216" s="1"/>
      <c r="B216" s="1"/>
      <c r="C216" s="1"/>
      <c r="D216" s="1"/>
      <c r="E216" s="1"/>
      <c r="F216" s="1"/>
      <c r="G216" s="1"/>
      <c r="H216" s="1"/>
      <c r="I216" s="1"/>
      <c r="J216" s="1"/>
      <c r="K216" s="1"/>
    </row>
    <row r="217" spans="1:11" ht="13.5" customHeight="1" x14ac:dyDescent="0.3">
      <c r="A217" s="1"/>
      <c r="B217" s="1"/>
      <c r="C217" s="1"/>
      <c r="D217" s="1"/>
      <c r="E217" s="1"/>
      <c r="F217" s="1"/>
      <c r="G217" s="1"/>
      <c r="H217" s="1"/>
      <c r="I217" s="1"/>
      <c r="J217" s="1"/>
      <c r="K217" s="1"/>
    </row>
    <row r="218" spans="1:11" ht="13.5" customHeight="1" x14ac:dyDescent="0.3">
      <c r="A218" s="1"/>
      <c r="B218" s="1"/>
      <c r="C218" s="1"/>
      <c r="D218" s="1"/>
      <c r="E218" s="1"/>
      <c r="F218" s="1"/>
      <c r="G218" s="1"/>
      <c r="H218" s="1"/>
      <c r="I218" s="1"/>
      <c r="J218" s="1"/>
      <c r="K218" s="1"/>
    </row>
    <row r="219" spans="1:11" ht="13.5" customHeight="1" x14ac:dyDescent="0.3">
      <c r="A219" s="1"/>
      <c r="B219" s="1"/>
      <c r="C219" s="1"/>
      <c r="D219" s="1"/>
      <c r="E219" s="1"/>
      <c r="F219" s="1"/>
      <c r="G219" s="1"/>
      <c r="H219" s="1"/>
      <c r="I219" s="1"/>
      <c r="J219" s="1"/>
      <c r="K219" s="1"/>
    </row>
    <row r="220" spans="1:11" ht="13.5" customHeight="1" x14ac:dyDescent="0.3">
      <c r="A220" s="1"/>
      <c r="B220" s="1"/>
      <c r="C220" s="1"/>
      <c r="D220" s="1"/>
      <c r="E220" s="1"/>
      <c r="F220" s="1"/>
      <c r="G220" s="1"/>
      <c r="H220" s="1"/>
      <c r="I220" s="1"/>
      <c r="J220" s="1"/>
      <c r="K220" s="1"/>
    </row>
    <row r="221" spans="1:11" ht="13.5" customHeight="1" x14ac:dyDescent="0.3">
      <c r="A221" s="1"/>
      <c r="B221" s="1"/>
      <c r="C221" s="1"/>
      <c r="D221" s="1"/>
      <c r="E221" s="1"/>
      <c r="F221" s="1"/>
      <c r="G221" s="1"/>
      <c r="H221" s="1"/>
      <c r="I221" s="1"/>
      <c r="J221" s="1"/>
      <c r="K221" s="1"/>
    </row>
    <row r="222" spans="1:11" ht="15.75" customHeight="1" x14ac:dyDescent="0.3"/>
    <row r="223" spans="1:11" ht="15.75" customHeight="1" x14ac:dyDescent="0.3"/>
    <row r="224" spans="1:11"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2">
    <mergeCell ref="J20:J21"/>
    <mergeCell ref="K20:K21"/>
    <mergeCell ref="H15:I15"/>
    <mergeCell ref="H19:I19"/>
    <mergeCell ref="H9:I9"/>
    <mergeCell ref="J9:K9"/>
    <mergeCell ref="B11:K11"/>
    <mergeCell ref="H12:I12"/>
    <mergeCell ref="J12:K12"/>
    <mergeCell ref="B14:K14"/>
    <mergeCell ref="B18:K18"/>
    <mergeCell ref="B8:K8"/>
    <mergeCell ref="J15:K15"/>
    <mergeCell ref="J16:J17"/>
    <mergeCell ref="K16:K17"/>
    <mergeCell ref="J19:K19"/>
    <mergeCell ref="A1:K1"/>
    <mergeCell ref="B2:K2"/>
    <mergeCell ref="H3:I3"/>
    <mergeCell ref="J3:K3"/>
    <mergeCell ref="J4:J7"/>
    <mergeCell ref="K4:K7"/>
  </mergeCells>
  <dataValidations count="1">
    <dataValidation type="decimal" allowBlank="1" showErrorMessage="1" sqref="G4:G7 G10 G13 G16:G17 G20:G21" xr:uid="{00000000-0002-0000-0100-000000000000}">
      <formula1>0</formula1>
      <formula2>100</formula2>
    </dataValidation>
  </dataValidation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sqref="A1:K1"/>
    </sheetView>
  </sheetViews>
  <sheetFormatPr baseColWidth="10" defaultColWidth="14.44140625" defaultRowHeight="15" customHeight="1" x14ac:dyDescent="0.3"/>
  <cols>
    <col min="1" max="1" width="18.6640625" customWidth="1"/>
    <col min="2" max="2" width="106.6640625" customWidth="1"/>
    <col min="3" max="4" width="28.44140625" customWidth="1"/>
    <col min="5" max="5" width="37.6640625" customWidth="1"/>
    <col min="6" max="6" width="49.33203125" customWidth="1"/>
    <col min="7" max="7" width="39.109375" customWidth="1"/>
    <col min="8" max="8" width="34.44140625" customWidth="1"/>
    <col min="9" max="10" width="34.109375" customWidth="1"/>
    <col min="11" max="11" width="36.33203125" customWidth="1"/>
    <col min="12" max="26" width="11.44140625" customWidth="1"/>
  </cols>
  <sheetData>
    <row r="1" spans="1:26" ht="16.5" customHeight="1" x14ac:dyDescent="0.3">
      <c r="A1" s="163" t="s">
        <v>93</v>
      </c>
      <c r="B1" s="158"/>
      <c r="C1" s="158"/>
      <c r="D1" s="158"/>
      <c r="E1" s="158"/>
      <c r="F1" s="158"/>
      <c r="G1" s="158"/>
      <c r="H1" s="158"/>
      <c r="I1" s="158"/>
      <c r="J1" s="158"/>
      <c r="K1" s="158"/>
      <c r="L1" s="40"/>
      <c r="M1" s="40"/>
      <c r="N1" s="40"/>
      <c r="O1" s="40"/>
      <c r="P1" s="40"/>
      <c r="Q1" s="40"/>
      <c r="R1" s="40"/>
      <c r="S1" s="40"/>
      <c r="T1" s="40"/>
      <c r="U1" s="40"/>
      <c r="V1" s="40"/>
      <c r="W1" s="40"/>
      <c r="X1" s="40"/>
      <c r="Y1" s="40"/>
      <c r="Z1" s="40"/>
    </row>
    <row r="2" spans="1:26" ht="13.5" customHeight="1" x14ac:dyDescent="0.3">
      <c r="A2" s="41" t="s">
        <v>94</v>
      </c>
      <c r="B2" s="164" t="s">
        <v>95</v>
      </c>
      <c r="C2" s="152"/>
      <c r="D2" s="152"/>
      <c r="E2" s="152"/>
      <c r="F2" s="152"/>
      <c r="G2" s="152"/>
      <c r="H2" s="152"/>
      <c r="I2" s="152"/>
      <c r="J2" s="152"/>
      <c r="K2" s="153"/>
      <c r="L2" s="40"/>
      <c r="M2" s="40"/>
      <c r="N2" s="40"/>
      <c r="O2" s="40"/>
      <c r="P2" s="40"/>
      <c r="Q2" s="40"/>
      <c r="R2" s="40"/>
      <c r="S2" s="40"/>
      <c r="T2" s="40"/>
      <c r="U2" s="40"/>
      <c r="V2" s="40"/>
      <c r="W2" s="40"/>
      <c r="X2" s="40"/>
      <c r="Y2" s="40"/>
      <c r="Z2" s="40"/>
    </row>
    <row r="3" spans="1:26" ht="13.5" customHeight="1" x14ac:dyDescent="0.3">
      <c r="A3" s="42" t="s">
        <v>3</v>
      </c>
      <c r="B3" s="43" t="s">
        <v>4</v>
      </c>
      <c r="C3" s="42" t="s">
        <v>5</v>
      </c>
      <c r="D3" s="43" t="s">
        <v>96</v>
      </c>
      <c r="E3" s="43" t="s">
        <v>7</v>
      </c>
      <c r="F3" s="43" t="s">
        <v>8</v>
      </c>
      <c r="G3" s="43" t="s">
        <v>9</v>
      </c>
      <c r="H3" s="165" t="s">
        <v>10</v>
      </c>
      <c r="I3" s="153"/>
      <c r="J3" s="165" t="s">
        <v>11</v>
      </c>
      <c r="K3" s="153"/>
      <c r="L3" s="40"/>
      <c r="M3" s="40"/>
      <c r="N3" s="40"/>
      <c r="O3" s="40"/>
      <c r="P3" s="40"/>
      <c r="Q3" s="40"/>
      <c r="R3" s="40"/>
      <c r="S3" s="40"/>
      <c r="T3" s="40"/>
      <c r="U3" s="40"/>
      <c r="V3" s="40"/>
      <c r="W3" s="40"/>
      <c r="X3" s="40"/>
      <c r="Y3" s="40"/>
      <c r="Z3" s="40"/>
    </row>
    <row r="4" spans="1:26" ht="172.5" customHeight="1" x14ac:dyDescent="0.3">
      <c r="A4" s="44" t="s">
        <v>97</v>
      </c>
      <c r="B4" s="45" t="s">
        <v>98</v>
      </c>
      <c r="C4" s="46" t="s">
        <v>32</v>
      </c>
      <c r="D4" s="47" t="s">
        <v>99</v>
      </c>
      <c r="E4" s="48" t="s">
        <v>100</v>
      </c>
      <c r="F4" s="48" t="s">
        <v>101</v>
      </c>
      <c r="G4" s="49">
        <v>95</v>
      </c>
      <c r="H4" s="49" t="str">
        <f t="shared" ref="H4:H5" si="0">IF(G4&lt;=30,"No se cumple",IF(G4&lt;=59,"Se cumple insatisfactoriamente",IF(G4&lt;=79,"Se cumple aceptablemente",IF(G4&lt;=89,"Se cumple en alto grado",IF(G4&gt;=90,"Se cumple plenamente","EROR")))))</f>
        <v>Se cumple plenamente</v>
      </c>
      <c r="I4" s="49" t="str">
        <f t="shared" ref="I4:I5" si="1">IF(G4&lt;=59,"Debilidad",IF(G4&lt;=79,"Oportunidad",IF(G4&gt;=80,"Fortaleza","EROR")))</f>
        <v>Fortaleza</v>
      </c>
      <c r="J4" s="166">
        <f>(G4+G5)/2</f>
        <v>94.5</v>
      </c>
      <c r="K4" s="167" t="str">
        <f>IF(J4&lt;=30,"No se cumple",IF(J4&lt;=59,"Se cumple insatisfactoriamente",IF(J4&lt;=79,"Se cumple aceptablemente",IF(J4&lt;=89,"Se cumple en alto grado",IF(J4&gt;=90,"Se cumple plenamente","EROR")))))</f>
        <v>Se cumple plenamente</v>
      </c>
      <c r="L4" s="40"/>
      <c r="M4" s="40"/>
      <c r="N4" s="40"/>
      <c r="O4" s="40"/>
      <c r="P4" s="40"/>
      <c r="Q4" s="40"/>
      <c r="R4" s="40"/>
      <c r="S4" s="40"/>
      <c r="T4" s="40"/>
      <c r="U4" s="40"/>
      <c r="V4" s="40"/>
      <c r="W4" s="40"/>
      <c r="X4" s="40"/>
      <c r="Y4" s="40"/>
      <c r="Z4" s="40"/>
    </row>
    <row r="5" spans="1:26" ht="213" customHeight="1" x14ac:dyDescent="0.3">
      <c r="A5" s="50" t="s">
        <v>102</v>
      </c>
      <c r="B5" s="51" t="s">
        <v>103</v>
      </c>
      <c r="C5" s="31" t="s">
        <v>40</v>
      </c>
      <c r="D5" s="31" t="s">
        <v>41</v>
      </c>
      <c r="E5" s="32" t="s">
        <v>42</v>
      </c>
      <c r="F5" s="52" t="s">
        <v>104</v>
      </c>
      <c r="G5" s="53">
        <v>94</v>
      </c>
      <c r="H5" s="53" t="str">
        <f t="shared" si="0"/>
        <v>Se cumple plenamente</v>
      </c>
      <c r="I5" s="53" t="str">
        <f t="shared" si="1"/>
        <v>Fortaleza</v>
      </c>
      <c r="J5" s="148"/>
      <c r="K5" s="148"/>
      <c r="L5" s="54"/>
      <c r="M5" s="54"/>
      <c r="N5" s="54"/>
      <c r="O5" s="54"/>
      <c r="P5" s="54"/>
      <c r="Q5" s="54"/>
      <c r="R5" s="54"/>
      <c r="S5" s="54"/>
      <c r="T5" s="54"/>
      <c r="U5" s="54"/>
      <c r="V5" s="54"/>
      <c r="W5" s="54"/>
      <c r="X5" s="54"/>
      <c r="Y5" s="54"/>
      <c r="Z5" s="54"/>
    </row>
    <row r="6" spans="1:26" ht="13.5" customHeight="1" x14ac:dyDescent="0.3">
      <c r="A6" s="41" t="s">
        <v>105</v>
      </c>
      <c r="B6" s="164" t="s">
        <v>106</v>
      </c>
      <c r="C6" s="152"/>
      <c r="D6" s="152"/>
      <c r="E6" s="152"/>
      <c r="F6" s="152"/>
      <c r="G6" s="152"/>
      <c r="H6" s="152"/>
      <c r="I6" s="152"/>
      <c r="J6" s="152"/>
      <c r="K6" s="153"/>
      <c r="L6" s="40"/>
      <c r="M6" s="40"/>
      <c r="N6" s="40"/>
      <c r="O6" s="40"/>
      <c r="P6" s="40"/>
      <c r="Q6" s="40"/>
      <c r="R6" s="40"/>
      <c r="S6" s="40"/>
      <c r="T6" s="40"/>
      <c r="U6" s="40"/>
      <c r="V6" s="40"/>
      <c r="W6" s="40"/>
      <c r="X6" s="40"/>
      <c r="Y6" s="40"/>
      <c r="Z6" s="40"/>
    </row>
    <row r="7" spans="1:26" ht="13.5" customHeight="1" x14ac:dyDescent="0.3">
      <c r="A7" s="42" t="s">
        <v>3</v>
      </c>
      <c r="B7" s="55" t="s">
        <v>4</v>
      </c>
      <c r="C7" s="56" t="s">
        <v>5</v>
      </c>
      <c r="D7" s="56"/>
      <c r="E7" s="43" t="s">
        <v>7</v>
      </c>
      <c r="F7" s="43" t="s">
        <v>8</v>
      </c>
      <c r="G7" s="43" t="s">
        <v>9</v>
      </c>
      <c r="H7" s="165" t="s">
        <v>10</v>
      </c>
      <c r="I7" s="153"/>
      <c r="J7" s="165" t="s">
        <v>11</v>
      </c>
      <c r="K7" s="153"/>
      <c r="L7" s="40"/>
      <c r="M7" s="40"/>
      <c r="N7" s="40"/>
      <c r="O7" s="40"/>
      <c r="P7" s="40"/>
      <c r="Q7" s="40"/>
      <c r="R7" s="40"/>
      <c r="S7" s="40"/>
      <c r="T7" s="40"/>
      <c r="U7" s="40"/>
      <c r="V7" s="40"/>
      <c r="W7" s="40"/>
      <c r="X7" s="40"/>
      <c r="Y7" s="40"/>
      <c r="Z7" s="40"/>
    </row>
    <row r="8" spans="1:26" ht="409.6" x14ac:dyDescent="0.3">
      <c r="A8" s="44" t="s">
        <v>107</v>
      </c>
      <c r="B8" s="45" t="s">
        <v>108</v>
      </c>
      <c r="C8" s="47" t="s">
        <v>109</v>
      </c>
      <c r="D8" s="47" t="s">
        <v>110</v>
      </c>
      <c r="E8" s="57" t="s">
        <v>111</v>
      </c>
      <c r="F8" s="48" t="s">
        <v>112</v>
      </c>
      <c r="G8" s="49">
        <v>90</v>
      </c>
      <c r="H8" s="49" t="str">
        <f t="shared" ref="H8:H10" si="2">IF(G8&lt;=30,"No se cumple",IF(G8&lt;=59,"Se cumple insatisfactoriamente",IF(G8&lt;=79,"Se cumple aceptablemente",IF(G8&lt;=89,"Se cumple en alto grado",IF(G8&gt;=90,"Se cumple plenamente","EROR")))))</f>
        <v>Se cumple plenamente</v>
      </c>
      <c r="I8" s="49" t="str">
        <f t="shared" ref="I8:I10" si="3">IF(G8&lt;=59,"Debilidad",IF(G8&lt;=79,"Oportunidad",IF(G8&gt;=80,"Fortaleza","EROR")))</f>
        <v>Fortaleza</v>
      </c>
      <c r="J8" s="168">
        <f>(G8+G9+G10)/3</f>
        <v>95</v>
      </c>
      <c r="K8" s="168" t="str">
        <f>IF(J8&lt;=30,"No se cumple",IF(J8&lt;=59,"Se cumple insatisfactoriamente",IF(J8&lt;=79,"Se cumple aceptablemente",IF(J8&lt;=89,"Se cumple en alto grado",IF(J8&gt;=90,"Se cumple plenamente","EROR")))))</f>
        <v>Se cumple plenamente</v>
      </c>
      <c r="L8" s="40"/>
      <c r="M8" s="40"/>
      <c r="N8" s="40"/>
      <c r="O8" s="40"/>
      <c r="P8" s="40"/>
      <c r="Q8" s="40"/>
      <c r="R8" s="40"/>
      <c r="S8" s="40"/>
      <c r="T8" s="40"/>
      <c r="U8" s="40"/>
      <c r="V8" s="40"/>
      <c r="W8" s="40"/>
      <c r="X8" s="40"/>
      <c r="Y8" s="40"/>
      <c r="Z8" s="40"/>
    </row>
    <row r="9" spans="1:26" ht="262.2" x14ac:dyDescent="0.3">
      <c r="A9" s="44" t="s">
        <v>113</v>
      </c>
      <c r="B9" s="45" t="s">
        <v>114</v>
      </c>
      <c r="C9" s="46" t="s">
        <v>32</v>
      </c>
      <c r="D9" s="47" t="s">
        <v>115</v>
      </c>
      <c r="E9" s="57" t="s">
        <v>116</v>
      </c>
      <c r="F9" s="48" t="s">
        <v>117</v>
      </c>
      <c r="G9" s="49">
        <v>100</v>
      </c>
      <c r="H9" s="49" t="str">
        <f t="shared" si="2"/>
        <v>Se cumple plenamente</v>
      </c>
      <c r="I9" s="49" t="str">
        <f t="shared" si="3"/>
        <v>Fortaleza</v>
      </c>
      <c r="J9" s="147"/>
      <c r="K9" s="147"/>
      <c r="L9" s="40"/>
      <c r="M9" s="40"/>
      <c r="N9" s="40"/>
      <c r="O9" s="40"/>
      <c r="P9" s="40"/>
      <c r="Q9" s="40"/>
      <c r="R9" s="40"/>
      <c r="S9" s="40"/>
      <c r="T9" s="40"/>
      <c r="U9" s="40"/>
      <c r="V9" s="40"/>
      <c r="W9" s="40"/>
      <c r="X9" s="40"/>
      <c r="Y9" s="40"/>
      <c r="Z9" s="40"/>
    </row>
    <row r="10" spans="1:26" ht="193.2" x14ac:dyDescent="0.3">
      <c r="A10" s="50" t="s">
        <v>118</v>
      </c>
      <c r="B10" s="51" t="s">
        <v>119</v>
      </c>
      <c r="C10" s="58" t="s">
        <v>120</v>
      </c>
      <c r="D10" s="31" t="s">
        <v>41</v>
      </c>
      <c r="E10" s="32" t="s">
        <v>42</v>
      </c>
      <c r="F10" s="52" t="s">
        <v>121</v>
      </c>
      <c r="G10" s="53">
        <v>95</v>
      </c>
      <c r="H10" s="53" t="str">
        <f t="shared" si="2"/>
        <v>Se cumple plenamente</v>
      </c>
      <c r="I10" s="53" t="str">
        <f t="shared" si="3"/>
        <v>Fortaleza</v>
      </c>
      <c r="J10" s="147"/>
      <c r="K10" s="148"/>
      <c r="L10" s="54"/>
      <c r="M10" s="54"/>
      <c r="N10" s="54"/>
      <c r="O10" s="54"/>
      <c r="P10" s="54"/>
      <c r="Q10" s="54"/>
      <c r="R10" s="54"/>
      <c r="S10" s="54"/>
      <c r="T10" s="54"/>
      <c r="U10" s="54"/>
      <c r="V10" s="54"/>
      <c r="W10" s="54"/>
      <c r="X10" s="54"/>
      <c r="Y10" s="54"/>
      <c r="Z10" s="54"/>
    </row>
    <row r="11" spans="1:26" ht="13.5" customHeight="1" x14ac:dyDescent="0.3">
      <c r="A11" s="41" t="s">
        <v>122</v>
      </c>
      <c r="B11" s="164" t="s">
        <v>123</v>
      </c>
      <c r="C11" s="152"/>
      <c r="D11" s="152"/>
      <c r="E11" s="152"/>
      <c r="F11" s="152"/>
      <c r="G11" s="152"/>
      <c r="H11" s="152"/>
      <c r="I11" s="152"/>
      <c r="J11" s="152"/>
      <c r="K11" s="153"/>
      <c r="L11" s="40"/>
      <c r="M11" s="40"/>
      <c r="N11" s="40"/>
      <c r="O11" s="40"/>
      <c r="P11" s="40"/>
      <c r="Q11" s="40"/>
      <c r="R11" s="40"/>
      <c r="S11" s="40"/>
      <c r="T11" s="40"/>
      <c r="U11" s="40"/>
      <c r="V11" s="40"/>
      <c r="W11" s="40"/>
      <c r="X11" s="40"/>
      <c r="Y11" s="40"/>
      <c r="Z11" s="40"/>
    </row>
    <row r="12" spans="1:26" ht="13.5" customHeight="1" x14ac:dyDescent="0.3">
      <c r="A12" s="42" t="s">
        <v>3</v>
      </c>
      <c r="B12" s="55" t="s">
        <v>4</v>
      </c>
      <c r="C12" s="56" t="s">
        <v>5</v>
      </c>
      <c r="D12" s="56"/>
      <c r="E12" s="43" t="s">
        <v>7</v>
      </c>
      <c r="F12" s="43" t="s">
        <v>8</v>
      </c>
      <c r="G12" s="43" t="s">
        <v>9</v>
      </c>
      <c r="H12" s="165" t="s">
        <v>10</v>
      </c>
      <c r="I12" s="153"/>
      <c r="J12" s="165" t="s">
        <v>11</v>
      </c>
      <c r="K12" s="153"/>
      <c r="L12" s="40"/>
      <c r="M12" s="40"/>
      <c r="N12" s="40"/>
      <c r="O12" s="40"/>
      <c r="P12" s="40"/>
      <c r="Q12" s="40"/>
      <c r="R12" s="40"/>
      <c r="S12" s="40"/>
      <c r="T12" s="40"/>
      <c r="U12" s="40"/>
      <c r="V12" s="40"/>
      <c r="W12" s="40"/>
      <c r="X12" s="40"/>
      <c r="Y12" s="40"/>
      <c r="Z12" s="40"/>
    </row>
    <row r="13" spans="1:26" ht="409.6" x14ac:dyDescent="0.3">
      <c r="A13" s="44" t="s">
        <v>124</v>
      </c>
      <c r="B13" s="45" t="s">
        <v>125</v>
      </c>
      <c r="C13" s="46" t="s">
        <v>32</v>
      </c>
      <c r="D13" s="47" t="s">
        <v>126</v>
      </c>
      <c r="E13" s="59" t="s">
        <v>127</v>
      </c>
      <c r="F13" s="48" t="s">
        <v>128</v>
      </c>
      <c r="G13" s="49">
        <v>90</v>
      </c>
      <c r="H13" s="49" t="str">
        <f t="shared" ref="H13:H16" si="4">IF(G13&lt;=30,"No se cumple",IF(G13&lt;=59,"Se cumple insatisfactoriamente",IF(G13&lt;=79,"Se cumple aceptablemente",IF(G13&lt;=89,"Se cumple en alto grado",IF(G13&gt;=90,"Se cumple plenamente","EROR")))))</f>
        <v>Se cumple plenamente</v>
      </c>
      <c r="I13" s="49" t="str">
        <f t="shared" ref="I13:I16" si="5">IF(G13&lt;=59,"Debilidad",IF(G13&lt;=79,"Oportunidad",IF(G13&gt;=80,"Fortaleza","EROR")))</f>
        <v>Fortaleza</v>
      </c>
      <c r="J13" s="168">
        <f>(G13+G14+G16+G15)/4</f>
        <v>95.25</v>
      </c>
      <c r="K13" s="168" t="str">
        <f>IF(J13&lt;=30,"No se cumple",IF(J13&lt;=59,"Se cumple insatisfactoriamente",IF(J13&lt;=79,"Se cumple aceptablemente",IF(J13&lt;=89,"Se cumple en alto grado",IF(J13&gt;=90,"Se cumple plenamente","EROR")))))</f>
        <v>Se cumple plenamente</v>
      </c>
      <c r="L13" s="40"/>
      <c r="M13" s="40"/>
      <c r="N13" s="40"/>
      <c r="O13" s="40"/>
      <c r="P13" s="40"/>
      <c r="Q13" s="40"/>
      <c r="R13" s="40"/>
      <c r="S13" s="40"/>
      <c r="T13" s="40"/>
      <c r="U13" s="40"/>
      <c r="V13" s="40"/>
      <c r="W13" s="40"/>
      <c r="X13" s="40"/>
      <c r="Y13" s="40"/>
      <c r="Z13" s="40"/>
    </row>
    <row r="14" spans="1:26" ht="262.2" x14ac:dyDescent="0.3">
      <c r="A14" s="44" t="s">
        <v>129</v>
      </c>
      <c r="B14" s="45" t="s">
        <v>130</v>
      </c>
      <c r="C14" s="46" t="s">
        <v>32</v>
      </c>
      <c r="D14" s="47" t="s">
        <v>70</v>
      </c>
      <c r="E14" s="57" t="s">
        <v>131</v>
      </c>
      <c r="F14" s="57" t="s">
        <v>132</v>
      </c>
      <c r="G14" s="49">
        <v>96</v>
      </c>
      <c r="H14" s="49" t="str">
        <f t="shared" si="4"/>
        <v>Se cumple plenamente</v>
      </c>
      <c r="I14" s="49" t="str">
        <f t="shared" si="5"/>
        <v>Fortaleza</v>
      </c>
      <c r="J14" s="147"/>
      <c r="K14" s="147"/>
      <c r="L14" s="40"/>
      <c r="M14" s="40"/>
      <c r="N14" s="40"/>
      <c r="O14" s="40"/>
      <c r="P14" s="40"/>
      <c r="Q14" s="40"/>
      <c r="R14" s="40"/>
      <c r="S14" s="40"/>
      <c r="T14" s="40"/>
      <c r="U14" s="40"/>
      <c r="V14" s="40"/>
      <c r="W14" s="40"/>
      <c r="X14" s="40"/>
      <c r="Y14" s="40"/>
      <c r="Z14" s="40"/>
    </row>
    <row r="15" spans="1:26" ht="400.2" x14ac:dyDescent="0.3">
      <c r="A15" s="60" t="s">
        <v>133</v>
      </c>
      <c r="B15" s="61" t="s">
        <v>134</v>
      </c>
      <c r="C15" s="62" t="s">
        <v>32</v>
      </c>
      <c r="D15" s="63" t="s">
        <v>70</v>
      </c>
      <c r="E15" s="64" t="s">
        <v>135</v>
      </c>
      <c r="F15" s="65" t="s">
        <v>136</v>
      </c>
      <c r="G15" s="64">
        <v>95</v>
      </c>
      <c r="H15" s="64" t="str">
        <f t="shared" si="4"/>
        <v>Se cumple plenamente</v>
      </c>
      <c r="I15" s="64" t="str">
        <f t="shared" si="5"/>
        <v>Fortaleza</v>
      </c>
      <c r="J15" s="147"/>
      <c r="K15" s="147"/>
      <c r="L15" s="66"/>
      <c r="M15" s="66"/>
      <c r="N15" s="66"/>
      <c r="O15" s="66"/>
      <c r="P15" s="66"/>
      <c r="Q15" s="66"/>
      <c r="R15" s="66"/>
      <c r="S15" s="66"/>
      <c r="T15" s="66"/>
      <c r="U15" s="66"/>
      <c r="V15" s="66"/>
      <c r="W15" s="66"/>
      <c r="X15" s="66"/>
      <c r="Y15" s="66"/>
      <c r="Z15" s="66"/>
    </row>
    <row r="16" spans="1:26" ht="331.2" x14ac:dyDescent="0.3">
      <c r="A16" s="67" t="s">
        <v>137</v>
      </c>
      <c r="B16" s="68" t="s">
        <v>138</v>
      </c>
      <c r="C16" s="69" t="s">
        <v>32</v>
      </c>
      <c r="D16" s="70" t="s">
        <v>70</v>
      </c>
      <c r="E16" s="71" t="s">
        <v>135</v>
      </c>
      <c r="F16" s="72" t="s">
        <v>139</v>
      </c>
      <c r="G16" s="71">
        <v>100</v>
      </c>
      <c r="H16" s="71" t="str">
        <f t="shared" si="4"/>
        <v>Se cumple plenamente</v>
      </c>
      <c r="I16" s="71" t="str">
        <f t="shared" si="5"/>
        <v>Fortaleza</v>
      </c>
      <c r="J16" s="147"/>
      <c r="K16" s="148"/>
      <c r="L16" s="73"/>
      <c r="M16" s="73"/>
      <c r="N16" s="73"/>
      <c r="O16" s="73"/>
      <c r="P16" s="73"/>
      <c r="Q16" s="73"/>
      <c r="R16" s="73"/>
      <c r="S16" s="73"/>
      <c r="T16" s="73"/>
      <c r="U16" s="73"/>
      <c r="V16" s="73"/>
      <c r="W16" s="73"/>
      <c r="X16" s="73"/>
      <c r="Y16" s="73"/>
      <c r="Z16" s="73"/>
    </row>
    <row r="17" spans="1:26" ht="13.5" customHeight="1" x14ac:dyDescent="0.3">
      <c r="A17" s="41" t="s">
        <v>140</v>
      </c>
      <c r="B17" s="164" t="s">
        <v>141</v>
      </c>
      <c r="C17" s="152"/>
      <c r="D17" s="152"/>
      <c r="E17" s="152"/>
      <c r="F17" s="152"/>
      <c r="G17" s="152"/>
      <c r="H17" s="152"/>
      <c r="I17" s="152"/>
      <c r="J17" s="152"/>
      <c r="K17" s="153"/>
      <c r="L17" s="40"/>
      <c r="M17" s="40"/>
      <c r="N17" s="40"/>
      <c r="O17" s="40"/>
      <c r="P17" s="40"/>
      <c r="Q17" s="40"/>
      <c r="R17" s="40"/>
      <c r="S17" s="40"/>
      <c r="T17" s="40"/>
      <c r="U17" s="40"/>
      <c r="V17" s="40"/>
      <c r="W17" s="40"/>
      <c r="X17" s="40"/>
      <c r="Y17" s="40"/>
      <c r="Z17" s="40"/>
    </row>
    <row r="18" spans="1:26" ht="13.5" customHeight="1" x14ac:dyDescent="0.3">
      <c r="A18" s="42" t="s">
        <v>3</v>
      </c>
      <c r="B18" s="43" t="s">
        <v>4</v>
      </c>
      <c r="C18" s="42" t="s">
        <v>5</v>
      </c>
      <c r="D18" s="42"/>
      <c r="E18" s="43" t="s">
        <v>7</v>
      </c>
      <c r="F18" s="43" t="s">
        <v>8</v>
      </c>
      <c r="G18" s="43" t="s">
        <v>9</v>
      </c>
      <c r="H18" s="165" t="s">
        <v>10</v>
      </c>
      <c r="I18" s="153"/>
      <c r="J18" s="165" t="s">
        <v>11</v>
      </c>
      <c r="K18" s="153"/>
      <c r="L18" s="40"/>
      <c r="M18" s="40"/>
      <c r="N18" s="40"/>
      <c r="O18" s="40"/>
      <c r="P18" s="40"/>
      <c r="Q18" s="40"/>
      <c r="R18" s="40"/>
      <c r="S18" s="40"/>
      <c r="T18" s="40"/>
      <c r="U18" s="40"/>
      <c r="V18" s="40"/>
      <c r="W18" s="40"/>
      <c r="X18" s="40"/>
      <c r="Y18" s="40"/>
      <c r="Z18" s="40"/>
    </row>
    <row r="19" spans="1:26" ht="409.6" x14ac:dyDescent="0.3">
      <c r="A19" s="44" t="s">
        <v>142</v>
      </c>
      <c r="B19" s="45" t="s">
        <v>143</v>
      </c>
      <c r="C19" s="46" t="s">
        <v>87</v>
      </c>
      <c r="D19" s="47" t="s">
        <v>144</v>
      </c>
      <c r="E19" s="59" t="s">
        <v>145</v>
      </c>
      <c r="F19" s="48" t="s">
        <v>146</v>
      </c>
      <c r="G19" s="49">
        <v>95</v>
      </c>
      <c r="H19" s="49" t="str">
        <f t="shared" ref="H19:H21" si="6">IF(G19&lt;=30,"No se cumple",IF(G19&lt;=59,"Se cumple insatisfactoriamente",IF(G19&lt;=79,"Se cumple aceptablemente",IF(G19&lt;=89,"Se cumple en alto grado",IF(G19&gt;=90,"Se cumple plenamente","EROR")))))</f>
        <v>Se cumple plenamente</v>
      </c>
      <c r="I19" s="49" t="str">
        <f t="shared" ref="I19:I21" si="7">IF(G19&lt;=59,"Debilidad",IF(G19&lt;=79,"Oportunidad",IF(G19&gt;=80,"Fortaleza","EROR")))</f>
        <v>Fortaleza</v>
      </c>
      <c r="J19" s="168">
        <f>(G19+G20+G21)/3</f>
        <v>96</v>
      </c>
      <c r="K19" s="168" t="str">
        <f>IF(J19&lt;=30,"No se cumple",IF(J19&lt;=59,"Se cumple insatisfactoriamente",IF(J19&lt;=79,"Se cumple aceptablemente",IF(J19&lt;=89,"Se cumple en alto grado",IF(J19&gt;=90,"Se cumple plenamente","EROR")))))</f>
        <v>Se cumple plenamente</v>
      </c>
      <c r="L19" s="40"/>
      <c r="M19" s="40"/>
      <c r="N19" s="40"/>
      <c r="O19" s="40"/>
      <c r="P19" s="40"/>
      <c r="Q19" s="40"/>
      <c r="R19" s="40"/>
      <c r="S19" s="40"/>
      <c r="T19" s="40"/>
      <c r="U19" s="40"/>
      <c r="V19" s="40"/>
      <c r="W19" s="40"/>
      <c r="X19" s="40"/>
      <c r="Y19" s="40"/>
      <c r="Z19" s="40"/>
    </row>
    <row r="20" spans="1:26" ht="409.6" x14ac:dyDescent="0.3">
      <c r="A20" s="44" t="s">
        <v>147</v>
      </c>
      <c r="B20" s="45" t="s">
        <v>148</v>
      </c>
      <c r="C20" s="47" t="s">
        <v>149</v>
      </c>
      <c r="D20" s="47" t="s">
        <v>70</v>
      </c>
      <c r="E20" s="49" t="s">
        <v>150</v>
      </c>
      <c r="F20" s="48" t="s">
        <v>151</v>
      </c>
      <c r="G20" s="49">
        <v>96</v>
      </c>
      <c r="H20" s="49" t="str">
        <f t="shared" si="6"/>
        <v>Se cumple plenamente</v>
      </c>
      <c r="I20" s="49" t="str">
        <f t="shared" si="7"/>
        <v>Fortaleza</v>
      </c>
      <c r="J20" s="147"/>
      <c r="K20" s="147"/>
      <c r="L20" s="40"/>
      <c r="M20" s="40"/>
      <c r="N20" s="40"/>
      <c r="O20" s="40"/>
      <c r="P20" s="40"/>
      <c r="Q20" s="40"/>
      <c r="R20" s="40"/>
      <c r="S20" s="40"/>
      <c r="T20" s="40"/>
      <c r="U20" s="40"/>
      <c r="V20" s="40"/>
      <c r="W20" s="40"/>
      <c r="X20" s="40"/>
      <c r="Y20" s="40"/>
      <c r="Z20" s="40"/>
    </row>
    <row r="21" spans="1:26" ht="15.75" customHeight="1" x14ac:dyDescent="0.3">
      <c r="A21" s="50" t="s">
        <v>152</v>
      </c>
      <c r="B21" s="51" t="s">
        <v>153</v>
      </c>
      <c r="C21" s="58" t="s">
        <v>40</v>
      </c>
      <c r="D21" s="31" t="s">
        <v>41</v>
      </c>
      <c r="E21" s="32" t="s">
        <v>42</v>
      </c>
      <c r="F21" s="74" t="s">
        <v>154</v>
      </c>
      <c r="G21" s="53">
        <v>97</v>
      </c>
      <c r="H21" s="53" t="str">
        <f t="shared" si="6"/>
        <v>Se cumple plenamente</v>
      </c>
      <c r="I21" s="53" t="str">
        <f t="shared" si="7"/>
        <v>Fortaleza</v>
      </c>
      <c r="J21" s="147"/>
      <c r="K21" s="147"/>
      <c r="L21" s="54"/>
      <c r="M21" s="54"/>
      <c r="N21" s="54"/>
      <c r="O21" s="54"/>
      <c r="P21" s="54"/>
      <c r="Q21" s="54"/>
      <c r="R21" s="54"/>
      <c r="S21" s="54"/>
      <c r="T21" s="54"/>
      <c r="U21" s="54"/>
      <c r="V21" s="54"/>
      <c r="W21" s="54"/>
      <c r="X21" s="54"/>
      <c r="Y21" s="54"/>
      <c r="Z21" s="54"/>
    </row>
    <row r="22" spans="1:26" ht="13.5" customHeight="1" x14ac:dyDescent="0.3">
      <c r="A22" s="41" t="s">
        <v>155</v>
      </c>
      <c r="B22" s="164" t="s">
        <v>156</v>
      </c>
      <c r="C22" s="152"/>
      <c r="D22" s="152"/>
      <c r="E22" s="152"/>
      <c r="F22" s="152"/>
      <c r="G22" s="152"/>
      <c r="H22" s="152"/>
      <c r="I22" s="152"/>
      <c r="J22" s="152"/>
      <c r="K22" s="153"/>
      <c r="L22" s="40"/>
      <c r="M22" s="40"/>
      <c r="N22" s="40"/>
      <c r="O22" s="40"/>
      <c r="P22" s="40"/>
      <c r="Q22" s="40"/>
      <c r="R22" s="40"/>
      <c r="S22" s="40"/>
      <c r="T22" s="40"/>
      <c r="U22" s="40"/>
      <c r="V22" s="40"/>
      <c r="W22" s="40"/>
      <c r="X22" s="40"/>
      <c r="Y22" s="40"/>
      <c r="Z22" s="40"/>
    </row>
    <row r="23" spans="1:26" ht="13.5" customHeight="1" x14ac:dyDescent="0.3">
      <c r="A23" s="42" t="s">
        <v>3</v>
      </c>
      <c r="B23" s="43" t="s">
        <v>4</v>
      </c>
      <c r="C23" s="42" t="s">
        <v>5</v>
      </c>
      <c r="D23" s="42"/>
      <c r="E23" s="43" t="s">
        <v>7</v>
      </c>
      <c r="F23" s="43" t="s">
        <v>8</v>
      </c>
      <c r="G23" s="43" t="s">
        <v>9</v>
      </c>
      <c r="H23" s="165" t="s">
        <v>10</v>
      </c>
      <c r="I23" s="153"/>
      <c r="J23" s="165" t="s">
        <v>11</v>
      </c>
      <c r="K23" s="153"/>
      <c r="L23" s="40"/>
      <c r="M23" s="40"/>
      <c r="N23" s="40"/>
      <c r="O23" s="40"/>
      <c r="P23" s="40"/>
      <c r="Q23" s="40"/>
      <c r="R23" s="40"/>
      <c r="S23" s="40"/>
      <c r="T23" s="40"/>
      <c r="U23" s="40"/>
      <c r="V23" s="40"/>
      <c r="W23" s="40"/>
      <c r="X23" s="40"/>
      <c r="Y23" s="40"/>
      <c r="Z23" s="40"/>
    </row>
    <row r="24" spans="1:26" ht="15.75" customHeight="1" x14ac:dyDescent="0.3">
      <c r="A24" s="44" t="s">
        <v>157</v>
      </c>
      <c r="B24" s="45" t="s">
        <v>158</v>
      </c>
      <c r="C24" s="46" t="s">
        <v>32</v>
      </c>
      <c r="D24" s="47" t="s">
        <v>144</v>
      </c>
      <c r="E24" s="59" t="s">
        <v>159</v>
      </c>
      <c r="F24" s="48" t="s">
        <v>160</v>
      </c>
      <c r="G24" s="49">
        <v>97</v>
      </c>
      <c r="H24" s="49" t="str">
        <f t="shared" ref="H24:H25" si="8">IF(G24&lt;=30,"No se cumple",IF(G24&lt;=59,"Se cumple insatisfactoriamente",IF(G24&lt;=79,"Se cumple aceptablemente",IF(G24&lt;=89,"Se cumple en alto grado",IF(G24&gt;=90,"Se cumple plenamente","EROR")))))</f>
        <v>Se cumple plenamente</v>
      </c>
      <c r="I24" s="49" t="str">
        <f t="shared" ref="I24:I25" si="9">IF(G24&lt;=59,"Debilidad",IF(G24&lt;=79,"Oportunidad",IF(G24&gt;=80,"Fortaleza","EROR")))</f>
        <v>Fortaleza</v>
      </c>
      <c r="J24" s="168">
        <f>(G24+G25)/2</f>
        <v>96</v>
      </c>
      <c r="K24" s="168" t="str">
        <f>IF(J24&lt;=30,"No se cumple",IF(J24&lt;=59,"Se cumple insatisfactoriamente",IF(J24&lt;=79,"Se cumple aceptablemente",IF(J24&lt;=89,"Se cumple en alto grado",IF(J24&gt;=90,"Se cumple plenamente","EROR")))))</f>
        <v>Se cumple plenamente</v>
      </c>
      <c r="L24" s="40"/>
      <c r="M24" s="40"/>
      <c r="N24" s="40"/>
      <c r="O24" s="40"/>
      <c r="P24" s="40"/>
      <c r="Q24" s="40"/>
      <c r="R24" s="40"/>
      <c r="S24" s="40"/>
      <c r="T24" s="40"/>
      <c r="U24" s="40"/>
      <c r="V24" s="40"/>
      <c r="W24" s="40"/>
      <c r="X24" s="40"/>
      <c r="Y24" s="40"/>
      <c r="Z24" s="40"/>
    </row>
    <row r="25" spans="1:26" ht="15.75" customHeight="1" x14ac:dyDescent="0.3">
      <c r="A25" s="50" t="s">
        <v>161</v>
      </c>
      <c r="B25" s="51" t="s">
        <v>162</v>
      </c>
      <c r="C25" s="58" t="s">
        <v>120</v>
      </c>
      <c r="D25" s="31" t="s">
        <v>41</v>
      </c>
      <c r="E25" s="32" t="s">
        <v>42</v>
      </c>
      <c r="F25" s="52" t="s">
        <v>163</v>
      </c>
      <c r="G25" s="53">
        <v>95</v>
      </c>
      <c r="H25" s="53" t="str">
        <f t="shared" si="8"/>
        <v>Se cumple plenamente</v>
      </c>
      <c r="I25" s="53" t="str">
        <f t="shared" si="9"/>
        <v>Fortaleza</v>
      </c>
      <c r="J25" s="147"/>
      <c r="K25" s="147"/>
      <c r="L25" s="54"/>
      <c r="M25" s="54"/>
      <c r="N25" s="54"/>
      <c r="O25" s="54"/>
      <c r="P25" s="54"/>
      <c r="Q25" s="54"/>
      <c r="R25" s="54"/>
      <c r="S25" s="54"/>
      <c r="T25" s="54"/>
      <c r="U25" s="54"/>
      <c r="V25" s="54"/>
      <c r="W25" s="54"/>
      <c r="X25" s="54"/>
      <c r="Y25" s="54"/>
      <c r="Z25" s="54"/>
    </row>
    <row r="26" spans="1:26" ht="13.5" customHeight="1" x14ac:dyDescent="0.3">
      <c r="A26" s="41" t="s">
        <v>164</v>
      </c>
      <c r="B26" s="164" t="s">
        <v>165</v>
      </c>
      <c r="C26" s="152"/>
      <c r="D26" s="152"/>
      <c r="E26" s="152"/>
      <c r="F26" s="152"/>
      <c r="G26" s="152"/>
      <c r="H26" s="152"/>
      <c r="I26" s="152"/>
      <c r="J26" s="152"/>
      <c r="K26" s="153"/>
      <c r="L26" s="40"/>
      <c r="M26" s="40"/>
      <c r="N26" s="40"/>
      <c r="O26" s="40"/>
      <c r="P26" s="40"/>
      <c r="Q26" s="40"/>
      <c r="R26" s="40"/>
      <c r="S26" s="40"/>
      <c r="T26" s="40"/>
      <c r="U26" s="40"/>
      <c r="V26" s="40"/>
      <c r="W26" s="40"/>
      <c r="X26" s="40"/>
      <c r="Y26" s="40"/>
      <c r="Z26" s="40"/>
    </row>
    <row r="27" spans="1:26" ht="13.5" customHeight="1" x14ac:dyDescent="0.3">
      <c r="A27" s="42" t="s">
        <v>3</v>
      </c>
      <c r="B27" s="43" t="s">
        <v>4</v>
      </c>
      <c r="C27" s="42" t="s">
        <v>5</v>
      </c>
      <c r="D27" s="42"/>
      <c r="E27" s="43" t="s">
        <v>7</v>
      </c>
      <c r="F27" s="43" t="s">
        <v>8</v>
      </c>
      <c r="G27" s="43" t="s">
        <v>9</v>
      </c>
      <c r="H27" s="165" t="s">
        <v>10</v>
      </c>
      <c r="I27" s="153"/>
      <c r="J27" s="165" t="s">
        <v>11</v>
      </c>
      <c r="K27" s="153"/>
      <c r="L27" s="40"/>
      <c r="M27" s="40"/>
      <c r="N27" s="40"/>
      <c r="O27" s="40"/>
      <c r="P27" s="40"/>
      <c r="Q27" s="40"/>
      <c r="R27" s="40"/>
      <c r="S27" s="40"/>
      <c r="T27" s="40"/>
      <c r="U27" s="40"/>
      <c r="V27" s="40"/>
      <c r="W27" s="40"/>
      <c r="X27" s="40"/>
      <c r="Y27" s="40"/>
      <c r="Z27" s="40"/>
    </row>
    <row r="28" spans="1:26" ht="15.75" customHeight="1" x14ac:dyDescent="0.3">
      <c r="A28" s="44" t="s">
        <v>166</v>
      </c>
      <c r="B28" s="45" t="s">
        <v>167</v>
      </c>
      <c r="C28" s="46" t="s">
        <v>32</v>
      </c>
      <c r="D28" s="47" t="s">
        <v>168</v>
      </c>
      <c r="E28" s="59" t="s">
        <v>169</v>
      </c>
      <c r="F28" s="48" t="s">
        <v>170</v>
      </c>
      <c r="G28" s="49">
        <v>100</v>
      </c>
      <c r="H28" s="49" t="str">
        <f>IF(G28&lt;=30,"No se cumple",IF(G28&lt;=59,"Se cumple insatisfactoriamente",IF(G28&lt;=79,"Se cumple aceptablemente",IF(G28&lt;=89,"Se cumple en alto grado",IF(G28&gt;=90,"Se cumple plenamente","EROR")))))</f>
        <v>Se cumple plenamente</v>
      </c>
      <c r="I28" s="49" t="str">
        <f>IF(G28&lt;=59,"Debilidad",IF(G28&lt;=79,"Oportunidad",IF(G28&gt;=80,"Fortaleza","EROR")))</f>
        <v>Fortaleza</v>
      </c>
      <c r="J28" s="168">
        <f>(G28+G30+G29)/3</f>
        <v>96.666666666666671</v>
      </c>
      <c r="K28" s="168" t="str">
        <f>IF(J28&lt;=30,"No se cumple",IF(J28&lt;=59,"Se cumple insatisfactoriamente",IF(J28&lt;=79,"Se cumple aceptablemente",IF(J28&lt;=89,"Se cumple en alto grado",IF(J28&gt;=90,"Se cumple plenamente","EROR")))))</f>
        <v>Se cumple plenamente</v>
      </c>
      <c r="L28" s="40"/>
      <c r="M28" s="40"/>
      <c r="N28" s="40"/>
      <c r="O28" s="40"/>
      <c r="P28" s="40"/>
      <c r="Q28" s="40"/>
      <c r="R28" s="40"/>
      <c r="S28" s="40"/>
      <c r="T28" s="40"/>
      <c r="U28" s="40"/>
      <c r="V28" s="40"/>
      <c r="W28" s="40"/>
      <c r="X28" s="40"/>
      <c r="Y28" s="40"/>
      <c r="Z28" s="40"/>
    </row>
    <row r="29" spans="1:26" ht="15.75" customHeight="1" x14ac:dyDescent="0.3">
      <c r="A29" s="44" t="s">
        <v>171</v>
      </c>
      <c r="B29" s="45" t="s">
        <v>172</v>
      </c>
      <c r="C29" s="46" t="s">
        <v>32</v>
      </c>
      <c r="D29" s="47" t="s">
        <v>70</v>
      </c>
      <c r="E29" s="57" t="s">
        <v>173</v>
      </c>
      <c r="F29" s="48" t="s">
        <v>174</v>
      </c>
      <c r="G29" s="49">
        <v>95</v>
      </c>
      <c r="H29" s="49"/>
      <c r="I29" s="49"/>
      <c r="J29" s="147"/>
      <c r="K29" s="147"/>
      <c r="L29" s="40"/>
      <c r="M29" s="40"/>
      <c r="N29" s="40"/>
      <c r="O29" s="40"/>
      <c r="P29" s="40"/>
      <c r="Q29" s="40"/>
      <c r="R29" s="40"/>
      <c r="S29" s="40"/>
      <c r="T29" s="40"/>
      <c r="U29" s="40"/>
      <c r="V29" s="40"/>
      <c r="W29" s="40"/>
      <c r="X29" s="40"/>
      <c r="Y29" s="40"/>
      <c r="Z29" s="40"/>
    </row>
    <row r="30" spans="1:26" ht="15.75" customHeight="1" x14ac:dyDescent="0.3">
      <c r="A30" s="50" t="s">
        <v>175</v>
      </c>
      <c r="B30" s="51" t="s">
        <v>176</v>
      </c>
      <c r="C30" s="58" t="s">
        <v>40</v>
      </c>
      <c r="D30" s="31" t="s">
        <v>41</v>
      </c>
      <c r="E30" s="32" t="s">
        <v>42</v>
      </c>
      <c r="F30" s="52" t="s">
        <v>177</v>
      </c>
      <c r="G30" s="53">
        <v>95</v>
      </c>
      <c r="H30" s="53" t="str">
        <f>IF(G30&lt;=30,"No se cumple",IF(G30&lt;=59,"Se cumple insatisfactoriamente",IF(G30&lt;=79,"Se cumple aceptablemente",IF(G30&lt;=89,"Se cumple en alto grado",IF(G30&gt;=90,"Se cumple plenamente","EROR")))))</f>
        <v>Se cumple plenamente</v>
      </c>
      <c r="I30" s="53" t="str">
        <f>IF(G30&lt;=59,"Debilidad",IF(G30&lt;=79,"Oportunidad",IF(G30&gt;=80,"Fortaleza","EROR")))</f>
        <v>Fortaleza</v>
      </c>
      <c r="J30" s="147"/>
      <c r="K30" s="147"/>
      <c r="L30" s="54"/>
      <c r="M30" s="54"/>
      <c r="N30" s="54"/>
      <c r="O30" s="54"/>
      <c r="P30" s="54"/>
      <c r="Q30" s="54"/>
      <c r="R30" s="54"/>
      <c r="S30" s="54"/>
      <c r="T30" s="54"/>
      <c r="U30" s="54"/>
      <c r="V30" s="54"/>
      <c r="W30" s="54"/>
      <c r="X30" s="54"/>
      <c r="Y30" s="54"/>
      <c r="Z30" s="54"/>
    </row>
    <row r="31" spans="1:26" ht="13.5" customHeight="1" x14ac:dyDescent="0.3">
      <c r="A31" s="41" t="s">
        <v>178</v>
      </c>
      <c r="B31" s="164" t="s">
        <v>179</v>
      </c>
      <c r="C31" s="152"/>
      <c r="D31" s="152"/>
      <c r="E31" s="152"/>
      <c r="F31" s="152"/>
      <c r="G31" s="152"/>
      <c r="H31" s="152"/>
      <c r="I31" s="152"/>
      <c r="J31" s="152"/>
      <c r="K31" s="153"/>
      <c r="L31" s="40"/>
      <c r="M31" s="40"/>
      <c r="N31" s="40"/>
      <c r="O31" s="40"/>
      <c r="P31" s="40"/>
      <c r="Q31" s="40"/>
      <c r="R31" s="40"/>
      <c r="S31" s="40"/>
      <c r="T31" s="40"/>
      <c r="U31" s="40"/>
      <c r="V31" s="40"/>
      <c r="W31" s="40"/>
      <c r="X31" s="40"/>
      <c r="Y31" s="40"/>
      <c r="Z31" s="40"/>
    </row>
    <row r="32" spans="1:26" ht="13.5" customHeight="1" x14ac:dyDescent="0.3">
      <c r="A32" s="42" t="s">
        <v>3</v>
      </c>
      <c r="B32" s="43" t="s">
        <v>4</v>
      </c>
      <c r="C32" s="42" t="s">
        <v>5</v>
      </c>
      <c r="D32" s="42"/>
      <c r="E32" s="43" t="s">
        <v>7</v>
      </c>
      <c r="F32" s="43" t="s">
        <v>8</v>
      </c>
      <c r="G32" s="43" t="s">
        <v>9</v>
      </c>
      <c r="H32" s="165" t="s">
        <v>10</v>
      </c>
      <c r="I32" s="153"/>
      <c r="J32" s="165" t="s">
        <v>11</v>
      </c>
      <c r="K32" s="153"/>
      <c r="L32" s="40"/>
      <c r="M32" s="40"/>
      <c r="N32" s="40"/>
      <c r="O32" s="40"/>
      <c r="P32" s="40"/>
      <c r="Q32" s="40"/>
      <c r="R32" s="40"/>
      <c r="S32" s="40"/>
      <c r="T32" s="40"/>
      <c r="U32" s="40"/>
      <c r="V32" s="40"/>
      <c r="W32" s="40"/>
      <c r="X32" s="40"/>
      <c r="Y32" s="40"/>
      <c r="Z32" s="40"/>
    </row>
    <row r="33" spans="1:26" ht="15.75" customHeight="1" x14ac:dyDescent="0.3">
      <c r="A33" s="50" t="s">
        <v>180</v>
      </c>
      <c r="B33" s="51" t="s">
        <v>181</v>
      </c>
      <c r="C33" s="58" t="s">
        <v>40</v>
      </c>
      <c r="D33" s="31" t="s">
        <v>41</v>
      </c>
      <c r="E33" s="32" t="s">
        <v>42</v>
      </c>
      <c r="F33" s="52" t="s">
        <v>182</v>
      </c>
      <c r="G33" s="53">
        <v>87</v>
      </c>
      <c r="H33" s="53" t="str">
        <f>IF(G33&lt;=30,"No se cumple",IF(G33&lt;=59,"Se cumple insatisfactoriamente",IF(G33&lt;=79,"Se cumple aceptablemente",IF(G33&lt;=89,"Se cumple en alto grado",IF(G33&gt;=90,"Se cumple plenamente","EROR")))))</f>
        <v>Se cumple en alto grado</v>
      </c>
      <c r="I33" s="53" t="str">
        <f>IF(G33&lt;=59,"Debilidad",IF(G33&lt;=79,"Oportunidad",IF(G33&gt;=80,"Fortaleza","EROR")))</f>
        <v>Fortaleza</v>
      </c>
      <c r="J33" s="75">
        <f>G33/1</f>
        <v>87</v>
      </c>
      <c r="K33" s="76" t="str">
        <f>IF(J33&lt;=30,"No se cumple",IF(J33&lt;=59,"Se cumple insatisfactoriamente",IF(J33&lt;=79,"Se cumple aceptablemente",IF(J33&lt;=89,"Se cumple en alto grado",IF(J33&gt;=90,"Se cumple plenamente","EROR")))))</f>
        <v>Se cumple en alto grado</v>
      </c>
      <c r="L33" s="77"/>
      <c r="M33" s="77"/>
      <c r="N33" s="54"/>
      <c r="O33" s="54"/>
      <c r="P33" s="54"/>
      <c r="Q33" s="54"/>
      <c r="R33" s="54"/>
      <c r="S33" s="54"/>
      <c r="T33" s="54"/>
      <c r="U33" s="54"/>
      <c r="V33" s="54"/>
      <c r="W33" s="54"/>
      <c r="X33" s="54"/>
      <c r="Y33" s="54"/>
      <c r="Z33" s="54"/>
    </row>
    <row r="34" spans="1:26" ht="13.5" customHeight="1" x14ac:dyDescent="0.3">
      <c r="A34" s="41" t="s">
        <v>183</v>
      </c>
      <c r="B34" s="164" t="s">
        <v>184</v>
      </c>
      <c r="C34" s="152"/>
      <c r="D34" s="152"/>
      <c r="E34" s="152"/>
      <c r="F34" s="152"/>
      <c r="G34" s="152"/>
      <c r="H34" s="152"/>
      <c r="I34" s="152"/>
      <c r="J34" s="152"/>
      <c r="K34" s="153"/>
      <c r="L34" s="40"/>
      <c r="M34" s="40"/>
      <c r="N34" s="40"/>
      <c r="O34" s="40"/>
      <c r="P34" s="40"/>
      <c r="Q34" s="40"/>
      <c r="R34" s="40"/>
      <c r="S34" s="40"/>
      <c r="T34" s="40"/>
      <c r="U34" s="40"/>
      <c r="V34" s="40"/>
      <c r="W34" s="40"/>
      <c r="X34" s="40"/>
      <c r="Y34" s="40"/>
      <c r="Z34" s="40"/>
    </row>
    <row r="35" spans="1:26" ht="13.5" customHeight="1" x14ac:dyDescent="0.3">
      <c r="A35" s="42" t="s">
        <v>3</v>
      </c>
      <c r="B35" s="42" t="s">
        <v>4</v>
      </c>
      <c r="C35" s="42" t="s">
        <v>5</v>
      </c>
      <c r="D35" s="42"/>
      <c r="E35" s="42" t="s">
        <v>7</v>
      </c>
      <c r="F35" s="42" t="s">
        <v>8</v>
      </c>
      <c r="G35" s="42" t="s">
        <v>9</v>
      </c>
      <c r="H35" s="169" t="s">
        <v>10</v>
      </c>
      <c r="I35" s="153"/>
      <c r="J35" s="169" t="s">
        <v>11</v>
      </c>
      <c r="K35" s="153"/>
      <c r="L35" s="40"/>
      <c r="M35" s="40"/>
      <c r="N35" s="40"/>
      <c r="O35" s="40"/>
      <c r="P35" s="40"/>
      <c r="Q35" s="40"/>
      <c r="R35" s="40"/>
      <c r="S35" s="40"/>
      <c r="T35" s="40"/>
      <c r="U35" s="40"/>
      <c r="V35" s="40"/>
      <c r="W35" s="40"/>
      <c r="X35" s="40"/>
      <c r="Y35" s="40"/>
      <c r="Z35" s="40"/>
    </row>
    <row r="36" spans="1:26" ht="168" customHeight="1" x14ac:dyDescent="0.3">
      <c r="A36" s="50" t="s">
        <v>185</v>
      </c>
      <c r="B36" s="51" t="s">
        <v>186</v>
      </c>
      <c r="C36" s="58" t="s">
        <v>120</v>
      </c>
      <c r="D36" s="31" t="s">
        <v>41</v>
      </c>
      <c r="E36" s="32" t="s">
        <v>42</v>
      </c>
      <c r="F36" s="52" t="s">
        <v>187</v>
      </c>
      <c r="G36" s="53">
        <v>95</v>
      </c>
      <c r="H36" s="53" t="str">
        <f t="shared" ref="H36:H37" si="10">IF(G36&lt;=30,"No se cumple",IF(G36&lt;=59,"Se cumple insatisfactoriamente",IF(G36&lt;=79,"Se cumple aceptablemente",IF(G36&lt;=89,"Se cumple en alto grado",IF(G36&gt;=90,"Se cumple plenamente","EROR")))))</f>
        <v>Se cumple plenamente</v>
      </c>
      <c r="I36" s="53" t="str">
        <f t="shared" ref="I36:I37" si="11">IF(G36&lt;=59,"Debilidad",IF(G36&lt;=79,"Oportunidad",IF(G36&gt;=80,"Fortaleza","EROR")))</f>
        <v>Fortaleza</v>
      </c>
      <c r="J36" s="168">
        <f>(G36+G37)/2</f>
        <v>95</v>
      </c>
      <c r="K36" s="168" t="str">
        <f>IF(J36&lt;=30,"No se cumple",IF(J36&lt;=59,"Se cumple insatisfactoriamente",IF(J36&lt;=79,"Se cumple aceptablemente",IF(J36&lt;=89,"Se cumple en alto grado",IF(J36&gt;=90,"Se cumple plenamente","EROR")))))</f>
        <v>Se cumple plenamente</v>
      </c>
      <c r="L36" s="54"/>
      <c r="M36" s="54"/>
      <c r="N36" s="54"/>
      <c r="O36" s="54"/>
      <c r="P36" s="54"/>
      <c r="Q36" s="54"/>
      <c r="R36" s="54"/>
      <c r="S36" s="54"/>
      <c r="T36" s="54"/>
      <c r="U36" s="54"/>
      <c r="V36" s="54"/>
      <c r="W36" s="54"/>
      <c r="X36" s="54"/>
      <c r="Y36" s="54"/>
      <c r="Z36" s="54"/>
    </row>
    <row r="37" spans="1:26" ht="15.75" customHeight="1" x14ac:dyDescent="0.3">
      <c r="A37" s="44" t="s">
        <v>188</v>
      </c>
      <c r="B37" s="45" t="s">
        <v>189</v>
      </c>
      <c r="C37" s="46" t="s">
        <v>32</v>
      </c>
      <c r="D37" s="47" t="s">
        <v>190</v>
      </c>
      <c r="E37" s="59" t="s">
        <v>191</v>
      </c>
      <c r="F37" s="48" t="s">
        <v>192</v>
      </c>
      <c r="G37" s="59">
        <v>95</v>
      </c>
      <c r="H37" s="49" t="str">
        <f t="shared" si="10"/>
        <v>Se cumple plenamente</v>
      </c>
      <c r="I37" s="49" t="str">
        <f t="shared" si="11"/>
        <v>Fortaleza</v>
      </c>
      <c r="J37" s="147"/>
      <c r="K37" s="148"/>
      <c r="L37" s="40"/>
      <c r="M37" s="40"/>
      <c r="N37" s="40"/>
      <c r="O37" s="40"/>
      <c r="P37" s="40"/>
      <c r="Q37" s="40"/>
      <c r="R37" s="40"/>
      <c r="S37" s="40"/>
      <c r="T37" s="40"/>
      <c r="U37" s="40"/>
      <c r="V37" s="40"/>
      <c r="W37" s="40"/>
      <c r="X37" s="40"/>
      <c r="Y37" s="40"/>
      <c r="Z37" s="40"/>
    </row>
    <row r="38" spans="1:26" ht="13.5" customHeight="1" x14ac:dyDescent="0.3">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row>
    <row r="39" spans="1:26" ht="13.5" customHeight="1" x14ac:dyDescent="0.3">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row>
    <row r="40" spans="1:26" ht="13.5" customHeight="1" x14ac:dyDescent="0.3">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row>
    <row r="41" spans="1:26" ht="13.5" customHeight="1" x14ac:dyDescent="0.3">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spans="1:26" ht="13.5" customHeight="1" x14ac:dyDescent="0.3">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spans="1:26" ht="13.5" customHeight="1" x14ac:dyDescent="0.3">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spans="1:26" ht="13.5" customHeight="1" x14ac:dyDescent="0.3">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spans="1:26" ht="13.5" customHeight="1" x14ac:dyDescent="0.3">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spans="1:26" ht="13.5" customHeight="1" x14ac:dyDescent="0.3">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row>
    <row r="47" spans="1:26" ht="13.5" customHeight="1" x14ac:dyDescent="0.3">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spans="1:26" ht="13.5" customHeight="1" x14ac:dyDescent="0.3">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row>
    <row r="49" spans="1:26" ht="13.5" customHeight="1" x14ac:dyDescent="0.3">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spans="1:26" ht="13.5" customHeight="1" x14ac:dyDescent="0.3">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row>
    <row r="51" spans="1:26" ht="13.5" customHeight="1" x14ac:dyDescent="0.3">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spans="1:26" ht="13.5" customHeight="1" x14ac:dyDescent="0.3">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row>
    <row r="53" spans="1:26" ht="13.5" customHeight="1" x14ac:dyDescent="0.3">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row>
    <row r="54" spans="1:26" ht="13.5" customHeight="1" x14ac:dyDescent="0.3">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spans="1:26" ht="13.5" customHeight="1" x14ac:dyDescent="0.3">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spans="1:26" ht="13.5" customHeight="1" x14ac:dyDescent="0.3">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row>
    <row r="57" spans="1:26" ht="13.5" customHeight="1" x14ac:dyDescent="0.3">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row>
    <row r="58" spans="1:26" ht="13.5" customHeight="1" x14ac:dyDescent="0.3">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row>
    <row r="59" spans="1:26" ht="13.5" customHeight="1" x14ac:dyDescent="0.3">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spans="1:26" ht="13.5" customHeight="1" x14ac:dyDescent="0.3">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spans="1:26" ht="13.5" customHeight="1" x14ac:dyDescent="0.3">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spans="1:26" ht="13.5" customHeight="1" x14ac:dyDescent="0.3">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spans="1:26" ht="13.5" customHeight="1" x14ac:dyDescent="0.3">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spans="1:26" ht="13.5" customHeight="1" x14ac:dyDescent="0.3">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spans="1:26" ht="13.5" customHeight="1" x14ac:dyDescent="0.3">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spans="1:26" ht="13.5" customHeight="1" x14ac:dyDescent="0.3">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spans="1:26" ht="13.5" customHeight="1" x14ac:dyDescent="0.3">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spans="1:26" ht="13.5" customHeight="1" x14ac:dyDescent="0.3">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spans="1:26" ht="13.5" customHeight="1" x14ac:dyDescent="0.3">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spans="1:26" ht="13.5" customHeight="1" x14ac:dyDescent="0.3">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spans="1:26" ht="13.5" customHeight="1" x14ac:dyDescent="0.3">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spans="1:26" ht="13.5" customHeight="1" x14ac:dyDescent="0.3">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spans="1:26" ht="13.5" customHeight="1" x14ac:dyDescent="0.3">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spans="1:26" ht="13.5" customHeight="1" x14ac:dyDescent="0.3">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spans="1:26" ht="13.5" customHeight="1" x14ac:dyDescent="0.3">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spans="1:26" ht="13.5" customHeight="1" x14ac:dyDescent="0.3">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spans="1:26" ht="13.5" customHeight="1" x14ac:dyDescent="0.3">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spans="1:26" ht="13.5" customHeight="1" x14ac:dyDescent="0.3">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spans="1:26" ht="13.5" customHeight="1" x14ac:dyDescent="0.3">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spans="1:26" ht="13.5" customHeight="1" x14ac:dyDescent="0.3">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spans="1:26" ht="13.5" customHeight="1" x14ac:dyDescent="0.3">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spans="1:26" ht="13.5" customHeight="1" x14ac:dyDescent="0.3">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spans="1:26" ht="13.5" customHeight="1" x14ac:dyDescent="0.3">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spans="1:26" ht="13.5" customHeight="1" x14ac:dyDescent="0.3">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spans="1:26" ht="13.5" customHeight="1" x14ac:dyDescent="0.3">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spans="1:26" ht="13.5" customHeight="1" x14ac:dyDescent="0.3">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spans="1:26" ht="13.5" customHeight="1" x14ac:dyDescent="0.3">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spans="1:26" ht="13.5" customHeight="1" x14ac:dyDescent="0.3">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spans="1:26" ht="13.5" customHeight="1" x14ac:dyDescent="0.3">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spans="1:26" ht="13.5" customHeight="1" x14ac:dyDescent="0.3">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spans="1:26" ht="13.5" customHeight="1" x14ac:dyDescent="0.3">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spans="1:26" ht="13.5" customHeight="1" x14ac:dyDescent="0.3">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spans="1:26" ht="13.5" customHeight="1" x14ac:dyDescent="0.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spans="1:26" ht="13.5" customHeight="1" x14ac:dyDescent="0.3">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spans="1:26" ht="13.5" customHeight="1" x14ac:dyDescent="0.3">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spans="1:26" ht="13.5" customHeight="1" x14ac:dyDescent="0.3">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spans="1:26" ht="13.5" customHeight="1" x14ac:dyDescent="0.3">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spans="1:26" ht="13.5" customHeight="1" x14ac:dyDescent="0.3">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spans="1:26" ht="13.5" customHeight="1" x14ac:dyDescent="0.3">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spans="1:26" ht="13.5" customHeight="1" x14ac:dyDescent="0.3">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spans="1:26" ht="13.5" customHeight="1" x14ac:dyDescent="0.3">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spans="1:26" ht="13.5" customHeight="1" x14ac:dyDescent="0.3">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spans="1:26" ht="13.5" customHeight="1" x14ac:dyDescent="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spans="1:26" ht="13.5" customHeight="1" x14ac:dyDescent="0.3">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spans="1:26" ht="13.5" customHeight="1" x14ac:dyDescent="0.3">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spans="1:26" ht="13.5" customHeight="1" x14ac:dyDescent="0.3">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spans="1:26" ht="13.5" customHeight="1" x14ac:dyDescent="0.3">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spans="1:26" ht="13.5" customHeight="1" x14ac:dyDescent="0.3">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spans="1:26" ht="13.5" customHeight="1" x14ac:dyDescent="0.3">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spans="1:26" ht="13.5" customHeight="1" x14ac:dyDescent="0.3">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spans="1:26" ht="13.5" customHeight="1" x14ac:dyDescent="0.3">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spans="1:26" ht="13.5" customHeight="1" x14ac:dyDescent="0.3">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spans="1:26" ht="13.5" customHeight="1" x14ac:dyDescent="0.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spans="1:26" ht="13.5" customHeight="1" x14ac:dyDescent="0.3">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spans="1:26" ht="13.5" customHeight="1" x14ac:dyDescent="0.3">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spans="1:26" ht="13.5" customHeight="1" x14ac:dyDescent="0.3">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spans="1:26" ht="13.5" customHeight="1" x14ac:dyDescent="0.3">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spans="1:26" ht="13.5" customHeight="1" x14ac:dyDescent="0.3">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spans="1:26" ht="13.5" customHeight="1" x14ac:dyDescent="0.3">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spans="1:26" ht="13.5" customHeight="1" x14ac:dyDescent="0.3">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spans="1:26" ht="13.5" customHeight="1" x14ac:dyDescent="0.3">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spans="1:26" ht="13.5" customHeight="1" x14ac:dyDescent="0.3">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spans="1:26" ht="13.5" customHeight="1" x14ac:dyDescent="0.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spans="1:26" ht="13.5" customHeight="1" x14ac:dyDescent="0.3">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spans="1:26" ht="13.5" customHeight="1" x14ac:dyDescent="0.3">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spans="1:26" ht="13.5" customHeight="1" x14ac:dyDescent="0.3">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spans="1:26" ht="13.5" customHeight="1" x14ac:dyDescent="0.3">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spans="1:26" ht="13.5" customHeight="1" x14ac:dyDescent="0.3">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spans="1:26" ht="13.5" customHeight="1" x14ac:dyDescent="0.3">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spans="1:26" ht="13.5" customHeight="1" x14ac:dyDescent="0.3">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spans="1:26" ht="13.5" customHeight="1" x14ac:dyDescent="0.3">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spans="1:26" ht="13.5" customHeight="1" x14ac:dyDescent="0.3">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spans="1:26" ht="13.5" customHeight="1" x14ac:dyDescent="0.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spans="1:26" ht="13.5" customHeight="1" x14ac:dyDescent="0.3">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spans="1:26" ht="13.5" customHeight="1" x14ac:dyDescent="0.3">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spans="1:26" ht="13.5" customHeight="1" x14ac:dyDescent="0.3">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spans="1:26" ht="13.5" customHeight="1" x14ac:dyDescent="0.3">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spans="1:26" ht="13.5" customHeight="1" x14ac:dyDescent="0.3">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spans="1:26" ht="13.5" customHeight="1" x14ac:dyDescent="0.3">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spans="1:26" ht="13.5" customHeight="1" x14ac:dyDescent="0.3">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spans="1:26" ht="13.5" customHeight="1" x14ac:dyDescent="0.3">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spans="1:26" ht="13.5" customHeight="1" x14ac:dyDescent="0.3">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spans="1:26" ht="13.5" customHeight="1" x14ac:dyDescent="0.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spans="1:26" ht="13.5" customHeight="1" x14ac:dyDescent="0.3">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spans="1:26" ht="13.5" customHeight="1" x14ac:dyDescent="0.3">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spans="1:26" ht="13.5" customHeight="1" x14ac:dyDescent="0.3">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spans="1:26" ht="13.5" customHeight="1" x14ac:dyDescent="0.3">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spans="1:26" ht="13.5" customHeight="1" x14ac:dyDescent="0.3">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spans="1:26" ht="13.5" customHeight="1" x14ac:dyDescent="0.3">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spans="1:26" ht="13.5" customHeight="1" x14ac:dyDescent="0.3">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spans="1:26" ht="13.5" customHeight="1" x14ac:dyDescent="0.3">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spans="1:26" ht="13.5" customHeight="1" x14ac:dyDescent="0.3">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spans="1:26" ht="13.5" customHeight="1" x14ac:dyDescent="0.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spans="1:26" ht="13.5" customHeight="1" x14ac:dyDescent="0.3">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spans="1:26" ht="13.5" customHeight="1" x14ac:dyDescent="0.3">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spans="1:26" ht="13.5" customHeight="1" x14ac:dyDescent="0.3">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spans="1:26" ht="13.5" customHeight="1" x14ac:dyDescent="0.3">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spans="1:26" ht="13.5" customHeight="1" x14ac:dyDescent="0.3">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spans="1:26" ht="13.5" customHeight="1" x14ac:dyDescent="0.3">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spans="1:26" ht="13.5" customHeight="1" x14ac:dyDescent="0.3">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spans="1:26" ht="13.5" customHeight="1" x14ac:dyDescent="0.3">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spans="1:26" ht="13.5" customHeight="1" x14ac:dyDescent="0.3">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spans="1:26" ht="13.5" customHeight="1" x14ac:dyDescent="0.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spans="1:26" ht="13.5" customHeight="1" x14ac:dyDescent="0.3">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spans="1:26" ht="13.5" customHeight="1" x14ac:dyDescent="0.3">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spans="1:26" ht="13.5" customHeight="1" x14ac:dyDescent="0.3">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spans="1:26" ht="13.5" customHeight="1" x14ac:dyDescent="0.3">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spans="1:26" ht="13.5" customHeight="1" x14ac:dyDescent="0.3">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spans="1:26" ht="13.5" customHeight="1" x14ac:dyDescent="0.3">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spans="1:26" ht="13.5" customHeight="1" x14ac:dyDescent="0.3">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spans="1:26" ht="13.5" customHeight="1" x14ac:dyDescent="0.3">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spans="1:26" ht="13.5" customHeight="1" x14ac:dyDescent="0.3">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spans="1:26" ht="13.5" customHeight="1" x14ac:dyDescent="0.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spans="1:26" ht="13.5" customHeight="1" x14ac:dyDescent="0.3">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spans="1:26" ht="13.5" customHeight="1" x14ac:dyDescent="0.3">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spans="1:26" ht="13.5" customHeight="1" x14ac:dyDescent="0.3">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spans="1:26" ht="13.5" customHeight="1" x14ac:dyDescent="0.3">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spans="1:26" ht="13.5" customHeight="1" x14ac:dyDescent="0.3">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spans="1:26" ht="13.5" customHeight="1" x14ac:dyDescent="0.3">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spans="1:26" ht="13.5" customHeight="1" x14ac:dyDescent="0.3">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spans="1:26" ht="13.5" customHeight="1" x14ac:dyDescent="0.3">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spans="1:26" ht="13.5" customHeight="1" x14ac:dyDescent="0.3">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spans="1:26" ht="13.5" customHeight="1" x14ac:dyDescent="0.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spans="1:26" ht="13.5" customHeight="1" x14ac:dyDescent="0.3">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spans="1:26" ht="13.5" customHeight="1" x14ac:dyDescent="0.3">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spans="1:26" ht="13.5" customHeight="1" x14ac:dyDescent="0.3">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spans="1:26" ht="13.5" customHeight="1" x14ac:dyDescent="0.3">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spans="1:26" ht="13.5" customHeight="1" x14ac:dyDescent="0.3">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spans="1:26" ht="13.5" customHeight="1" x14ac:dyDescent="0.3">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spans="1:26" ht="13.5" customHeight="1" x14ac:dyDescent="0.3">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spans="1:26" ht="13.5" customHeight="1" x14ac:dyDescent="0.3">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spans="1:26" ht="13.5" customHeight="1" x14ac:dyDescent="0.3">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spans="1:26" ht="13.5" customHeight="1" x14ac:dyDescent="0.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spans="1:26" ht="13.5" customHeight="1" x14ac:dyDescent="0.3">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spans="1:26" ht="13.5" customHeight="1" x14ac:dyDescent="0.3">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spans="1:26" ht="13.5" customHeight="1" x14ac:dyDescent="0.3">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spans="1:26" ht="13.5" customHeight="1" x14ac:dyDescent="0.3">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spans="1:26" ht="13.5" customHeight="1" x14ac:dyDescent="0.3">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spans="1:26" ht="13.5" customHeight="1" x14ac:dyDescent="0.3">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spans="1:26" ht="13.5" customHeight="1" x14ac:dyDescent="0.3">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spans="1:26" ht="13.5" customHeight="1" x14ac:dyDescent="0.3">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spans="1:26" ht="13.5" customHeight="1" x14ac:dyDescent="0.3">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spans="1:26" ht="13.5" customHeight="1" x14ac:dyDescent="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spans="1:26" ht="13.5" customHeight="1" x14ac:dyDescent="0.3">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spans="1:26" ht="13.5" customHeight="1" x14ac:dyDescent="0.3">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spans="1:26" ht="13.5" customHeight="1" x14ac:dyDescent="0.3">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spans="1:26" ht="13.5" customHeight="1" x14ac:dyDescent="0.3">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spans="1:26" ht="13.5" customHeight="1" x14ac:dyDescent="0.3">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spans="1:26" ht="13.5" customHeight="1" x14ac:dyDescent="0.3">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spans="1:26" ht="13.5" customHeight="1" x14ac:dyDescent="0.3">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spans="1:26" ht="13.5" customHeight="1" x14ac:dyDescent="0.3">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spans="1:26" ht="13.5" customHeight="1" x14ac:dyDescent="0.3">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spans="1:26" ht="13.5" customHeight="1" x14ac:dyDescent="0.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spans="1:26" ht="13.5" customHeight="1" x14ac:dyDescent="0.3">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spans="1:26" ht="13.5" customHeight="1" x14ac:dyDescent="0.3">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spans="1:26" ht="13.5" customHeight="1" x14ac:dyDescent="0.3">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spans="1:26" ht="13.5" customHeight="1" x14ac:dyDescent="0.3">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spans="1:26" ht="13.5" customHeight="1" x14ac:dyDescent="0.3">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spans="1:26" ht="13.5" customHeight="1" x14ac:dyDescent="0.3">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spans="1:26" ht="13.5" customHeight="1" x14ac:dyDescent="0.3">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spans="1:26" ht="13.5" customHeight="1" x14ac:dyDescent="0.3">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spans="1:26" ht="13.5" customHeight="1" x14ac:dyDescent="0.3">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spans="1:26" ht="13.5" customHeight="1" x14ac:dyDescent="0.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spans="1:26" ht="13.5" customHeight="1" x14ac:dyDescent="0.3">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spans="1:26" ht="13.5" customHeight="1" x14ac:dyDescent="0.3">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spans="1:26" ht="13.5" customHeight="1" x14ac:dyDescent="0.3">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spans="1:26" ht="13.5" customHeight="1" x14ac:dyDescent="0.3">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spans="1:26" ht="13.5" customHeight="1" x14ac:dyDescent="0.3">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spans="1:26" ht="13.5" customHeight="1" x14ac:dyDescent="0.3">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spans="1:26" ht="13.5" customHeight="1" x14ac:dyDescent="0.3">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spans="1:26" ht="13.5" customHeight="1" x14ac:dyDescent="0.3">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spans="1:26" ht="13.5" customHeight="1" x14ac:dyDescent="0.3">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spans="1:26" ht="13.5" customHeight="1" x14ac:dyDescent="0.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spans="1:26" ht="13.5" customHeight="1" x14ac:dyDescent="0.3">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spans="1:26" ht="13.5" customHeight="1" x14ac:dyDescent="0.3">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spans="1:26" ht="13.5" customHeight="1" x14ac:dyDescent="0.3">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spans="1:26" ht="13.5" customHeight="1" x14ac:dyDescent="0.3">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spans="1:26" ht="15.75" customHeight="1" x14ac:dyDescent="0.3">
      <c r="B238" s="28"/>
    </row>
    <row r="239" spans="1:26" ht="15.75" customHeight="1" x14ac:dyDescent="0.3">
      <c r="B239" s="28"/>
    </row>
    <row r="240" spans="1:26" ht="15.75" customHeight="1" x14ac:dyDescent="0.3">
      <c r="B240" s="28"/>
    </row>
    <row r="241" spans="2:2" ht="15.75" customHeight="1" x14ac:dyDescent="0.3">
      <c r="B241" s="28"/>
    </row>
    <row r="242" spans="2:2" ht="15.75" customHeight="1" x14ac:dyDescent="0.3">
      <c r="B242" s="28"/>
    </row>
    <row r="243" spans="2:2" ht="15.75" customHeight="1" x14ac:dyDescent="0.3">
      <c r="B243" s="28"/>
    </row>
    <row r="244" spans="2:2" ht="15.75" customHeight="1" x14ac:dyDescent="0.3">
      <c r="B244" s="28"/>
    </row>
    <row r="245" spans="2:2" ht="15.75" customHeight="1" x14ac:dyDescent="0.3">
      <c r="B245" s="28"/>
    </row>
    <row r="246" spans="2:2" ht="15.75" customHeight="1" x14ac:dyDescent="0.3">
      <c r="B246" s="28"/>
    </row>
    <row r="247" spans="2:2" ht="15.75" customHeight="1" x14ac:dyDescent="0.3">
      <c r="B247" s="28"/>
    </row>
    <row r="248" spans="2:2" ht="15.75" customHeight="1" x14ac:dyDescent="0.3">
      <c r="B248" s="28"/>
    </row>
    <row r="249" spans="2:2" ht="15.75" customHeight="1" x14ac:dyDescent="0.3">
      <c r="B249" s="28"/>
    </row>
    <row r="250" spans="2:2" ht="15.75" customHeight="1" x14ac:dyDescent="0.3">
      <c r="B250" s="28"/>
    </row>
    <row r="251" spans="2:2" ht="15.75" customHeight="1" x14ac:dyDescent="0.3">
      <c r="B251" s="28"/>
    </row>
    <row r="252" spans="2:2" ht="15.75" customHeight="1" x14ac:dyDescent="0.3">
      <c r="B252" s="28"/>
    </row>
    <row r="253" spans="2:2" ht="15.75" customHeight="1" x14ac:dyDescent="0.3">
      <c r="B253" s="28"/>
    </row>
    <row r="254" spans="2:2" ht="15.75" customHeight="1" x14ac:dyDescent="0.3">
      <c r="B254" s="28"/>
    </row>
    <row r="255" spans="2:2" ht="15.75" customHeight="1" x14ac:dyDescent="0.3">
      <c r="B255" s="28"/>
    </row>
    <row r="256" spans="2:2" ht="15.75" customHeight="1" x14ac:dyDescent="0.3">
      <c r="B256" s="28"/>
    </row>
    <row r="257" spans="2:2" ht="15.75" customHeight="1" x14ac:dyDescent="0.3">
      <c r="B257" s="28"/>
    </row>
    <row r="258" spans="2:2" ht="15.75" customHeight="1" x14ac:dyDescent="0.3">
      <c r="B258" s="28"/>
    </row>
    <row r="259" spans="2:2" ht="15.75" customHeight="1" x14ac:dyDescent="0.3">
      <c r="B259" s="28"/>
    </row>
    <row r="260" spans="2:2" ht="15.75" customHeight="1" x14ac:dyDescent="0.3">
      <c r="B260" s="28"/>
    </row>
    <row r="261" spans="2:2" ht="15.75" customHeight="1" x14ac:dyDescent="0.3">
      <c r="B261" s="28"/>
    </row>
    <row r="262" spans="2:2" ht="15.75" customHeight="1" x14ac:dyDescent="0.3">
      <c r="B262" s="28"/>
    </row>
    <row r="263" spans="2:2" ht="15.75" customHeight="1" x14ac:dyDescent="0.3">
      <c r="B263" s="28"/>
    </row>
    <row r="264" spans="2:2" ht="15.75" customHeight="1" x14ac:dyDescent="0.3">
      <c r="B264" s="28"/>
    </row>
    <row r="265" spans="2:2" ht="15.75" customHeight="1" x14ac:dyDescent="0.3">
      <c r="B265" s="28"/>
    </row>
    <row r="266" spans="2:2" ht="15.75" customHeight="1" x14ac:dyDescent="0.3">
      <c r="B266" s="28"/>
    </row>
    <row r="267" spans="2:2" ht="15.75" customHeight="1" x14ac:dyDescent="0.3">
      <c r="B267" s="28"/>
    </row>
    <row r="268" spans="2:2" ht="15.75" customHeight="1" x14ac:dyDescent="0.3">
      <c r="B268" s="28"/>
    </row>
    <row r="269" spans="2:2" ht="15.75" customHeight="1" x14ac:dyDescent="0.3">
      <c r="B269" s="28"/>
    </row>
    <row r="270" spans="2:2" ht="15.75" customHeight="1" x14ac:dyDescent="0.3">
      <c r="B270" s="28"/>
    </row>
    <row r="271" spans="2:2" ht="15.75" customHeight="1" x14ac:dyDescent="0.3">
      <c r="B271" s="28"/>
    </row>
    <row r="272" spans="2:2" ht="15.75" customHeight="1" x14ac:dyDescent="0.3">
      <c r="B272" s="28"/>
    </row>
    <row r="273" spans="2:2" ht="15.75" customHeight="1" x14ac:dyDescent="0.3">
      <c r="B273" s="28"/>
    </row>
    <row r="274" spans="2:2" ht="15.75" customHeight="1" x14ac:dyDescent="0.3">
      <c r="B274" s="28"/>
    </row>
    <row r="275" spans="2:2" ht="15.75" customHeight="1" x14ac:dyDescent="0.3">
      <c r="B275" s="28"/>
    </row>
    <row r="276" spans="2:2" ht="15.75" customHeight="1" x14ac:dyDescent="0.3">
      <c r="B276" s="28"/>
    </row>
    <row r="277" spans="2:2" ht="15.75" customHeight="1" x14ac:dyDescent="0.3">
      <c r="B277" s="28"/>
    </row>
    <row r="278" spans="2:2" ht="15.75" customHeight="1" x14ac:dyDescent="0.3">
      <c r="B278" s="28"/>
    </row>
    <row r="279" spans="2:2" ht="15.75" customHeight="1" x14ac:dyDescent="0.3">
      <c r="B279" s="28"/>
    </row>
    <row r="280" spans="2:2" ht="15.75" customHeight="1" x14ac:dyDescent="0.3">
      <c r="B280" s="28"/>
    </row>
    <row r="281" spans="2:2" ht="15.75" customHeight="1" x14ac:dyDescent="0.3">
      <c r="B281" s="28"/>
    </row>
    <row r="282" spans="2:2" ht="15.75" customHeight="1" x14ac:dyDescent="0.3">
      <c r="B282" s="28"/>
    </row>
    <row r="283" spans="2:2" ht="15.75" customHeight="1" x14ac:dyDescent="0.3">
      <c r="B283" s="28"/>
    </row>
    <row r="284" spans="2:2" ht="15.75" customHeight="1" x14ac:dyDescent="0.3">
      <c r="B284" s="28"/>
    </row>
    <row r="285" spans="2:2" ht="15.75" customHeight="1" x14ac:dyDescent="0.3">
      <c r="B285" s="28"/>
    </row>
    <row r="286" spans="2:2" ht="15.75" customHeight="1" x14ac:dyDescent="0.3">
      <c r="B286" s="28"/>
    </row>
    <row r="287" spans="2:2" ht="15.75" customHeight="1" x14ac:dyDescent="0.3">
      <c r="B287" s="28"/>
    </row>
    <row r="288" spans="2:2" ht="15.75" customHeight="1" x14ac:dyDescent="0.3">
      <c r="B288" s="28"/>
    </row>
    <row r="289" spans="2:2" ht="15.75" customHeight="1" x14ac:dyDescent="0.3">
      <c r="B289" s="28"/>
    </row>
    <row r="290" spans="2:2" ht="15.75" customHeight="1" x14ac:dyDescent="0.3">
      <c r="B290" s="28"/>
    </row>
    <row r="291" spans="2:2" ht="15.75" customHeight="1" x14ac:dyDescent="0.3">
      <c r="B291" s="28"/>
    </row>
    <row r="292" spans="2:2" ht="15.75" customHeight="1" x14ac:dyDescent="0.3">
      <c r="B292" s="28"/>
    </row>
    <row r="293" spans="2:2" ht="15.75" customHeight="1" x14ac:dyDescent="0.3">
      <c r="B293" s="28"/>
    </row>
    <row r="294" spans="2:2" ht="15.75" customHeight="1" x14ac:dyDescent="0.3">
      <c r="B294" s="28"/>
    </row>
    <row r="295" spans="2:2" ht="15.75" customHeight="1" x14ac:dyDescent="0.3">
      <c r="B295" s="28"/>
    </row>
    <row r="296" spans="2:2" ht="15.75" customHeight="1" x14ac:dyDescent="0.3">
      <c r="B296" s="28"/>
    </row>
    <row r="297" spans="2:2" ht="15.75" customHeight="1" x14ac:dyDescent="0.3">
      <c r="B297" s="28"/>
    </row>
    <row r="298" spans="2:2" ht="15.75" customHeight="1" x14ac:dyDescent="0.3">
      <c r="B298" s="28"/>
    </row>
    <row r="299" spans="2:2" ht="15.75" customHeight="1" x14ac:dyDescent="0.3">
      <c r="B299" s="28"/>
    </row>
    <row r="300" spans="2:2" ht="15.75" customHeight="1" x14ac:dyDescent="0.3">
      <c r="B300" s="28"/>
    </row>
    <row r="301" spans="2:2" ht="15.75" customHeight="1" x14ac:dyDescent="0.3">
      <c r="B301" s="28"/>
    </row>
    <row r="302" spans="2:2" ht="15.75" customHeight="1" x14ac:dyDescent="0.3">
      <c r="B302" s="28"/>
    </row>
    <row r="303" spans="2:2" ht="15.75" customHeight="1" x14ac:dyDescent="0.3">
      <c r="B303" s="28"/>
    </row>
    <row r="304" spans="2:2" ht="15.75" customHeight="1" x14ac:dyDescent="0.3">
      <c r="B304" s="28"/>
    </row>
    <row r="305" spans="2:2" ht="15.75" customHeight="1" x14ac:dyDescent="0.3">
      <c r="B305" s="28"/>
    </row>
    <row r="306" spans="2:2" ht="15.75" customHeight="1" x14ac:dyDescent="0.3">
      <c r="B306" s="28"/>
    </row>
    <row r="307" spans="2:2" ht="15.75" customHeight="1" x14ac:dyDescent="0.3">
      <c r="B307" s="28"/>
    </row>
    <row r="308" spans="2:2" ht="15.75" customHeight="1" x14ac:dyDescent="0.3">
      <c r="B308" s="28"/>
    </row>
    <row r="309" spans="2:2" ht="15.75" customHeight="1" x14ac:dyDescent="0.3">
      <c r="B309" s="28"/>
    </row>
    <row r="310" spans="2:2" ht="15.75" customHeight="1" x14ac:dyDescent="0.3">
      <c r="B310" s="28"/>
    </row>
    <row r="311" spans="2:2" ht="15.75" customHeight="1" x14ac:dyDescent="0.3">
      <c r="B311" s="28"/>
    </row>
    <row r="312" spans="2:2" ht="15.75" customHeight="1" x14ac:dyDescent="0.3">
      <c r="B312" s="28"/>
    </row>
    <row r="313" spans="2:2" ht="15.75" customHeight="1" x14ac:dyDescent="0.3">
      <c r="B313" s="28"/>
    </row>
    <row r="314" spans="2:2" ht="15.75" customHeight="1" x14ac:dyDescent="0.3">
      <c r="B314" s="28"/>
    </row>
    <row r="315" spans="2:2" ht="15.75" customHeight="1" x14ac:dyDescent="0.3">
      <c r="B315" s="28"/>
    </row>
    <row r="316" spans="2:2" ht="15.75" customHeight="1" x14ac:dyDescent="0.3">
      <c r="B316" s="28"/>
    </row>
    <row r="317" spans="2:2" ht="15.75" customHeight="1" x14ac:dyDescent="0.3">
      <c r="B317" s="28"/>
    </row>
    <row r="318" spans="2:2" ht="15.75" customHeight="1" x14ac:dyDescent="0.3">
      <c r="B318" s="28"/>
    </row>
    <row r="319" spans="2:2" ht="15.75" customHeight="1" x14ac:dyDescent="0.3">
      <c r="B319" s="28"/>
    </row>
    <row r="320" spans="2:2" ht="15.75" customHeight="1" x14ac:dyDescent="0.3">
      <c r="B320" s="28"/>
    </row>
    <row r="321" spans="2:2" ht="15.75" customHeight="1" x14ac:dyDescent="0.3">
      <c r="B321" s="28"/>
    </row>
    <row r="322" spans="2:2" ht="15.75" customHeight="1" x14ac:dyDescent="0.3">
      <c r="B322" s="28"/>
    </row>
    <row r="323" spans="2:2" ht="15.75" customHeight="1" x14ac:dyDescent="0.3">
      <c r="B323" s="28"/>
    </row>
    <row r="324" spans="2:2" ht="15.75" customHeight="1" x14ac:dyDescent="0.3">
      <c r="B324" s="28"/>
    </row>
    <row r="325" spans="2:2" ht="15.75" customHeight="1" x14ac:dyDescent="0.3">
      <c r="B325" s="28"/>
    </row>
    <row r="326" spans="2:2" ht="15.75" customHeight="1" x14ac:dyDescent="0.3">
      <c r="B326" s="28"/>
    </row>
    <row r="327" spans="2:2" ht="15.75" customHeight="1" x14ac:dyDescent="0.3">
      <c r="B327" s="28"/>
    </row>
    <row r="328" spans="2:2" ht="15.75" customHeight="1" x14ac:dyDescent="0.3">
      <c r="B328" s="28"/>
    </row>
    <row r="329" spans="2:2" ht="15.75" customHeight="1" x14ac:dyDescent="0.3">
      <c r="B329" s="28"/>
    </row>
    <row r="330" spans="2:2" ht="15.75" customHeight="1" x14ac:dyDescent="0.3">
      <c r="B330" s="28"/>
    </row>
    <row r="331" spans="2:2" ht="15.75" customHeight="1" x14ac:dyDescent="0.3">
      <c r="B331" s="28"/>
    </row>
    <row r="332" spans="2:2" ht="15.75" customHeight="1" x14ac:dyDescent="0.3">
      <c r="B332" s="28"/>
    </row>
    <row r="333" spans="2:2" ht="15.75" customHeight="1" x14ac:dyDescent="0.3">
      <c r="B333" s="28"/>
    </row>
    <row r="334" spans="2:2" ht="15.75" customHeight="1" x14ac:dyDescent="0.3">
      <c r="B334" s="28"/>
    </row>
    <row r="335" spans="2:2" ht="15.75" customHeight="1" x14ac:dyDescent="0.3">
      <c r="B335" s="28"/>
    </row>
    <row r="336" spans="2:2" ht="15.75" customHeight="1" x14ac:dyDescent="0.3">
      <c r="B336" s="28"/>
    </row>
    <row r="337" spans="2:2" ht="15.75" customHeight="1" x14ac:dyDescent="0.3">
      <c r="B337" s="28"/>
    </row>
    <row r="338" spans="2:2" ht="15.75" customHeight="1" x14ac:dyDescent="0.3">
      <c r="B338" s="28"/>
    </row>
    <row r="339" spans="2:2" ht="15.75" customHeight="1" x14ac:dyDescent="0.3">
      <c r="B339" s="28"/>
    </row>
    <row r="340" spans="2:2" ht="15.75" customHeight="1" x14ac:dyDescent="0.3">
      <c r="B340" s="28"/>
    </row>
    <row r="341" spans="2:2" ht="15.75" customHeight="1" x14ac:dyDescent="0.3">
      <c r="B341" s="28"/>
    </row>
    <row r="342" spans="2:2" ht="15.75" customHeight="1" x14ac:dyDescent="0.3">
      <c r="B342" s="28"/>
    </row>
    <row r="343" spans="2:2" ht="15.75" customHeight="1" x14ac:dyDescent="0.3">
      <c r="B343" s="28"/>
    </row>
    <row r="344" spans="2:2" ht="15.75" customHeight="1" x14ac:dyDescent="0.3">
      <c r="B344" s="28"/>
    </row>
    <row r="345" spans="2:2" ht="15.75" customHeight="1" x14ac:dyDescent="0.3">
      <c r="B345" s="28"/>
    </row>
    <row r="346" spans="2:2" ht="15.75" customHeight="1" x14ac:dyDescent="0.3">
      <c r="B346" s="28"/>
    </row>
    <row r="347" spans="2:2" ht="15.75" customHeight="1" x14ac:dyDescent="0.3">
      <c r="B347" s="28"/>
    </row>
    <row r="348" spans="2:2" ht="15.75" customHeight="1" x14ac:dyDescent="0.3">
      <c r="B348" s="28"/>
    </row>
    <row r="349" spans="2:2" ht="15.75" customHeight="1" x14ac:dyDescent="0.3">
      <c r="B349" s="28"/>
    </row>
    <row r="350" spans="2:2" ht="15.75" customHeight="1" x14ac:dyDescent="0.3">
      <c r="B350" s="28"/>
    </row>
    <row r="351" spans="2:2" ht="15.75" customHeight="1" x14ac:dyDescent="0.3">
      <c r="B351" s="28"/>
    </row>
    <row r="352" spans="2:2" ht="15.75" customHeight="1" x14ac:dyDescent="0.3">
      <c r="B352" s="28"/>
    </row>
    <row r="353" spans="2:2" ht="15.75" customHeight="1" x14ac:dyDescent="0.3">
      <c r="B353" s="28"/>
    </row>
    <row r="354" spans="2:2" ht="15.75" customHeight="1" x14ac:dyDescent="0.3">
      <c r="B354" s="28"/>
    </row>
    <row r="355" spans="2:2" ht="15.75" customHeight="1" x14ac:dyDescent="0.3">
      <c r="B355" s="28"/>
    </row>
    <row r="356" spans="2:2" ht="15.75" customHeight="1" x14ac:dyDescent="0.3">
      <c r="B356" s="28"/>
    </row>
    <row r="357" spans="2:2" ht="15.75" customHeight="1" x14ac:dyDescent="0.3">
      <c r="B357" s="28"/>
    </row>
    <row r="358" spans="2:2" ht="15.75" customHeight="1" x14ac:dyDescent="0.3">
      <c r="B358" s="28"/>
    </row>
    <row r="359" spans="2:2" ht="15.75" customHeight="1" x14ac:dyDescent="0.3">
      <c r="B359" s="28"/>
    </row>
    <row r="360" spans="2:2" ht="15.75" customHeight="1" x14ac:dyDescent="0.3">
      <c r="B360" s="28"/>
    </row>
    <row r="361" spans="2:2" ht="15.75" customHeight="1" x14ac:dyDescent="0.3">
      <c r="B361" s="28"/>
    </row>
    <row r="362" spans="2:2" ht="15.75" customHeight="1" x14ac:dyDescent="0.3">
      <c r="B362" s="28"/>
    </row>
    <row r="363" spans="2:2" ht="15.75" customHeight="1" x14ac:dyDescent="0.3">
      <c r="B363" s="28"/>
    </row>
    <row r="364" spans="2:2" ht="15.75" customHeight="1" x14ac:dyDescent="0.3">
      <c r="B364" s="28"/>
    </row>
    <row r="365" spans="2:2" ht="15.75" customHeight="1" x14ac:dyDescent="0.3">
      <c r="B365" s="28"/>
    </row>
    <row r="366" spans="2:2" ht="15.75" customHeight="1" x14ac:dyDescent="0.3">
      <c r="B366" s="28"/>
    </row>
    <row r="367" spans="2:2" ht="15.75" customHeight="1" x14ac:dyDescent="0.3">
      <c r="B367" s="28"/>
    </row>
    <row r="368" spans="2:2" ht="15.75" customHeight="1" x14ac:dyDescent="0.3">
      <c r="B368" s="28"/>
    </row>
    <row r="369" spans="2:2" ht="15.75" customHeight="1" x14ac:dyDescent="0.3">
      <c r="B369" s="28"/>
    </row>
    <row r="370" spans="2:2" ht="15.75" customHeight="1" x14ac:dyDescent="0.3">
      <c r="B370" s="28"/>
    </row>
    <row r="371" spans="2:2" ht="15.75" customHeight="1" x14ac:dyDescent="0.3">
      <c r="B371" s="28"/>
    </row>
    <row r="372" spans="2:2" ht="15.75" customHeight="1" x14ac:dyDescent="0.3">
      <c r="B372" s="28"/>
    </row>
    <row r="373" spans="2:2" ht="15.75" customHeight="1" x14ac:dyDescent="0.3">
      <c r="B373" s="28"/>
    </row>
    <row r="374" spans="2:2" ht="15.75" customHeight="1" x14ac:dyDescent="0.3">
      <c r="B374" s="28"/>
    </row>
    <row r="375" spans="2:2" ht="15.75" customHeight="1" x14ac:dyDescent="0.3">
      <c r="B375" s="28"/>
    </row>
    <row r="376" spans="2:2" ht="15.75" customHeight="1" x14ac:dyDescent="0.3">
      <c r="B376" s="28"/>
    </row>
    <row r="377" spans="2:2" ht="15.75" customHeight="1" x14ac:dyDescent="0.3">
      <c r="B377" s="28"/>
    </row>
    <row r="378" spans="2:2" ht="15.75" customHeight="1" x14ac:dyDescent="0.3">
      <c r="B378" s="28"/>
    </row>
    <row r="379" spans="2:2" ht="15.75" customHeight="1" x14ac:dyDescent="0.3">
      <c r="B379" s="28"/>
    </row>
    <row r="380" spans="2:2" ht="15.75" customHeight="1" x14ac:dyDescent="0.3">
      <c r="B380" s="28"/>
    </row>
    <row r="381" spans="2:2" ht="15.75" customHeight="1" x14ac:dyDescent="0.3">
      <c r="B381" s="28"/>
    </row>
    <row r="382" spans="2:2" ht="15.75" customHeight="1" x14ac:dyDescent="0.3">
      <c r="B382" s="28"/>
    </row>
    <row r="383" spans="2:2" ht="15.75" customHeight="1" x14ac:dyDescent="0.3">
      <c r="B383" s="28"/>
    </row>
    <row r="384" spans="2:2" ht="15.75" customHeight="1" x14ac:dyDescent="0.3">
      <c r="B384" s="28"/>
    </row>
    <row r="385" spans="2:2" ht="15.75" customHeight="1" x14ac:dyDescent="0.3">
      <c r="B385" s="28"/>
    </row>
    <row r="386" spans="2:2" ht="15.75" customHeight="1" x14ac:dyDescent="0.3">
      <c r="B386" s="28"/>
    </row>
    <row r="387" spans="2:2" ht="15.75" customHeight="1" x14ac:dyDescent="0.3">
      <c r="B387" s="28"/>
    </row>
    <row r="388" spans="2:2" ht="15.75" customHeight="1" x14ac:dyDescent="0.3">
      <c r="B388" s="28"/>
    </row>
    <row r="389" spans="2:2" ht="15.75" customHeight="1" x14ac:dyDescent="0.3">
      <c r="B389" s="28"/>
    </row>
    <row r="390" spans="2:2" ht="15.75" customHeight="1" x14ac:dyDescent="0.3">
      <c r="B390" s="28"/>
    </row>
    <row r="391" spans="2:2" ht="15.75" customHeight="1" x14ac:dyDescent="0.3">
      <c r="B391" s="28"/>
    </row>
    <row r="392" spans="2:2" ht="15.75" customHeight="1" x14ac:dyDescent="0.3">
      <c r="B392" s="28"/>
    </row>
    <row r="393" spans="2:2" ht="15.75" customHeight="1" x14ac:dyDescent="0.3">
      <c r="B393" s="28"/>
    </row>
    <row r="394" spans="2:2" ht="15.75" customHeight="1" x14ac:dyDescent="0.3">
      <c r="B394" s="28"/>
    </row>
    <row r="395" spans="2:2" ht="15.75" customHeight="1" x14ac:dyDescent="0.3">
      <c r="B395" s="28"/>
    </row>
    <row r="396" spans="2:2" ht="15.75" customHeight="1" x14ac:dyDescent="0.3">
      <c r="B396" s="28"/>
    </row>
    <row r="397" spans="2:2" ht="15.75" customHeight="1" x14ac:dyDescent="0.3">
      <c r="B397" s="28"/>
    </row>
    <row r="398" spans="2:2" ht="15.75" customHeight="1" x14ac:dyDescent="0.3">
      <c r="B398" s="28"/>
    </row>
    <row r="399" spans="2:2" ht="15.75" customHeight="1" x14ac:dyDescent="0.3">
      <c r="B399" s="28"/>
    </row>
    <row r="400" spans="2:2" ht="15.75" customHeight="1" x14ac:dyDescent="0.3">
      <c r="B400" s="28"/>
    </row>
    <row r="401" spans="2:2" ht="15.75" customHeight="1" x14ac:dyDescent="0.3">
      <c r="B401" s="28"/>
    </row>
    <row r="402" spans="2:2" ht="15.75" customHeight="1" x14ac:dyDescent="0.3">
      <c r="B402" s="28"/>
    </row>
    <row r="403" spans="2:2" ht="15.75" customHeight="1" x14ac:dyDescent="0.3">
      <c r="B403" s="28"/>
    </row>
    <row r="404" spans="2:2" ht="15.75" customHeight="1" x14ac:dyDescent="0.3">
      <c r="B404" s="28"/>
    </row>
    <row r="405" spans="2:2" ht="15.75" customHeight="1" x14ac:dyDescent="0.3">
      <c r="B405" s="28"/>
    </row>
    <row r="406" spans="2:2" ht="15.75" customHeight="1" x14ac:dyDescent="0.3">
      <c r="B406" s="28"/>
    </row>
    <row r="407" spans="2:2" ht="15.75" customHeight="1" x14ac:dyDescent="0.3">
      <c r="B407" s="28"/>
    </row>
    <row r="408" spans="2:2" ht="15.75" customHeight="1" x14ac:dyDescent="0.3">
      <c r="B408" s="28"/>
    </row>
    <row r="409" spans="2:2" ht="15.75" customHeight="1" x14ac:dyDescent="0.3">
      <c r="B409" s="28"/>
    </row>
    <row r="410" spans="2:2" ht="15.75" customHeight="1" x14ac:dyDescent="0.3">
      <c r="B410" s="28"/>
    </row>
    <row r="411" spans="2:2" ht="15.75" customHeight="1" x14ac:dyDescent="0.3">
      <c r="B411" s="28"/>
    </row>
    <row r="412" spans="2:2" ht="15.75" customHeight="1" x14ac:dyDescent="0.3">
      <c r="B412" s="28"/>
    </row>
    <row r="413" spans="2:2" ht="15.75" customHeight="1" x14ac:dyDescent="0.3">
      <c r="B413" s="28"/>
    </row>
    <row r="414" spans="2:2" ht="15.75" customHeight="1" x14ac:dyDescent="0.3">
      <c r="B414" s="28"/>
    </row>
    <row r="415" spans="2:2" ht="15.75" customHeight="1" x14ac:dyDescent="0.3">
      <c r="B415" s="28"/>
    </row>
    <row r="416" spans="2:2" ht="15.75" customHeight="1" x14ac:dyDescent="0.3">
      <c r="B416" s="28"/>
    </row>
    <row r="417" spans="2:2" ht="15.75" customHeight="1" x14ac:dyDescent="0.3">
      <c r="B417" s="28"/>
    </row>
    <row r="418" spans="2:2" ht="15.75" customHeight="1" x14ac:dyDescent="0.3">
      <c r="B418" s="28"/>
    </row>
    <row r="419" spans="2:2" ht="15.75" customHeight="1" x14ac:dyDescent="0.3">
      <c r="B419" s="28"/>
    </row>
    <row r="420" spans="2:2" ht="15.75" customHeight="1" x14ac:dyDescent="0.3">
      <c r="B420" s="28"/>
    </row>
    <row r="421" spans="2:2" ht="15.75" customHeight="1" x14ac:dyDescent="0.3">
      <c r="B421" s="28"/>
    </row>
    <row r="422" spans="2:2" ht="15.75" customHeight="1" x14ac:dyDescent="0.3">
      <c r="B422" s="28"/>
    </row>
    <row r="423" spans="2:2" ht="15.75" customHeight="1" x14ac:dyDescent="0.3">
      <c r="B423" s="28"/>
    </row>
    <row r="424" spans="2:2" ht="15.75" customHeight="1" x14ac:dyDescent="0.3">
      <c r="B424" s="28"/>
    </row>
    <row r="425" spans="2:2" ht="15.75" customHeight="1" x14ac:dyDescent="0.3">
      <c r="B425" s="28"/>
    </row>
    <row r="426" spans="2:2" ht="15.75" customHeight="1" x14ac:dyDescent="0.3">
      <c r="B426" s="28"/>
    </row>
    <row r="427" spans="2:2" ht="15.75" customHeight="1" x14ac:dyDescent="0.3">
      <c r="B427" s="28"/>
    </row>
    <row r="428" spans="2:2" ht="15.75" customHeight="1" x14ac:dyDescent="0.3">
      <c r="B428" s="28"/>
    </row>
    <row r="429" spans="2:2" ht="15.75" customHeight="1" x14ac:dyDescent="0.3">
      <c r="B429" s="28"/>
    </row>
    <row r="430" spans="2:2" ht="15.75" customHeight="1" x14ac:dyDescent="0.3">
      <c r="B430" s="28"/>
    </row>
    <row r="431" spans="2:2" ht="15.75" customHeight="1" x14ac:dyDescent="0.3">
      <c r="B431" s="28"/>
    </row>
    <row r="432" spans="2:2" ht="15.75" customHeight="1" x14ac:dyDescent="0.3">
      <c r="B432" s="28"/>
    </row>
    <row r="433" spans="2:2" ht="15.75" customHeight="1" x14ac:dyDescent="0.3">
      <c r="B433" s="28"/>
    </row>
    <row r="434" spans="2:2" ht="15.75" customHeight="1" x14ac:dyDescent="0.3">
      <c r="B434" s="28"/>
    </row>
    <row r="435" spans="2:2" ht="15.75" customHeight="1" x14ac:dyDescent="0.3">
      <c r="B435" s="28"/>
    </row>
    <row r="436" spans="2:2" ht="15.75" customHeight="1" x14ac:dyDescent="0.3">
      <c r="B436" s="28"/>
    </row>
    <row r="437" spans="2:2" ht="15.75" customHeight="1" x14ac:dyDescent="0.3">
      <c r="B437" s="28"/>
    </row>
    <row r="438" spans="2:2" ht="15.75" customHeight="1" x14ac:dyDescent="0.3">
      <c r="B438" s="28"/>
    </row>
    <row r="439" spans="2:2" ht="15.75" customHeight="1" x14ac:dyDescent="0.3">
      <c r="B439" s="28"/>
    </row>
    <row r="440" spans="2:2" ht="15.75" customHeight="1" x14ac:dyDescent="0.3">
      <c r="B440" s="28"/>
    </row>
    <row r="441" spans="2:2" ht="15.75" customHeight="1" x14ac:dyDescent="0.3">
      <c r="B441" s="28"/>
    </row>
    <row r="442" spans="2:2" ht="15.75" customHeight="1" x14ac:dyDescent="0.3">
      <c r="B442" s="28"/>
    </row>
    <row r="443" spans="2:2" ht="15.75" customHeight="1" x14ac:dyDescent="0.3">
      <c r="B443" s="28"/>
    </row>
    <row r="444" spans="2:2" ht="15.75" customHeight="1" x14ac:dyDescent="0.3">
      <c r="B444" s="28"/>
    </row>
    <row r="445" spans="2:2" ht="15.75" customHeight="1" x14ac:dyDescent="0.3">
      <c r="B445" s="28"/>
    </row>
    <row r="446" spans="2:2" ht="15.75" customHeight="1" x14ac:dyDescent="0.3">
      <c r="B446" s="28"/>
    </row>
    <row r="447" spans="2:2" ht="15.75" customHeight="1" x14ac:dyDescent="0.3">
      <c r="B447" s="28"/>
    </row>
    <row r="448" spans="2:2" ht="15.75" customHeight="1" x14ac:dyDescent="0.3">
      <c r="B448" s="28"/>
    </row>
    <row r="449" spans="2:2" ht="15.75" customHeight="1" x14ac:dyDescent="0.3">
      <c r="B449" s="28"/>
    </row>
    <row r="450" spans="2:2" ht="15.75" customHeight="1" x14ac:dyDescent="0.3">
      <c r="B450" s="28"/>
    </row>
    <row r="451" spans="2:2" ht="15.75" customHeight="1" x14ac:dyDescent="0.3">
      <c r="B451" s="28"/>
    </row>
    <row r="452" spans="2:2" ht="15.75" customHeight="1" x14ac:dyDescent="0.3">
      <c r="B452" s="28"/>
    </row>
    <row r="453" spans="2:2" ht="15.75" customHeight="1" x14ac:dyDescent="0.3">
      <c r="B453" s="28"/>
    </row>
    <row r="454" spans="2:2" ht="15.75" customHeight="1" x14ac:dyDescent="0.3">
      <c r="B454" s="28"/>
    </row>
    <row r="455" spans="2:2" ht="15.75" customHeight="1" x14ac:dyDescent="0.3">
      <c r="B455" s="28"/>
    </row>
    <row r="456" spans="2:2" ht="15.75" customHeight="1" x14ac:dyDescent="0.3">
      <c r="B456" s="28"/>
    </row>
    <row r="457" spans="2:2" ht="15.75" customHeight="1" x14ac:dyDescent="0.3">
      <c r="B457" s="28"/>
    </row>
    <row r="458" spans="2:2" ht="15.75" customHeight="1" x14ac:dyDescent="0.3">
      <c r="B458" s="28"/>
    </row>
    <row r="459" spans="2:2" ht="15.75" customHeight="1" x14ac:dyDescent="0.3">
      <c r="B459" s="28"/>
    </row>
    <row r="460" spans="2:2" ht="15.75" customHeight="1" x14ac:dyDescent="0.3">
      <c r="B460" s="28"/>
    </row>
    <row r="461" spans="2:2" ht="15.75" customHeight="1" x14ac:dyDescent="0.3">
      <c r="B461" s="28"/>
    </row>
    <row r="462" spans="2:2" ht="15.75" customHeight="1" x14ac:dyDescent="0.3">
      <c r="B462" s="28"/>
    </row>
    <row r="463" spans="2:2" ht="15.75" customHeight="1" x14ac:dyDescent="0.3">
      <c r="B463" s="28"/>
    </row>
    <row r="464" spans="2:2" ht="15.75" customHeight="1" x14ac:dyDescent="0.3">
      <c r="B464" s="28"/>
    </row>
    <row r="465" spans="2:2" ht="15.75" customHeight="1" x14ac:dyDescent="0.3">
      <c r="B465" s="28"/>
    </row>
    <row r="466" spans="2:2" ht="15.75" customHeight="1" x14ac:dyDescent="0.3">
      <c r="B466" s="28"/>
    </row>
    <row r="467" spans="2:2" ht="15.75" customHeight="1" x14ac:dyDescent="0.3">
      <c r="B467" s="28"/>
    </row>
    <row r="468" spans="2:2" ht="15.75" customHeight="1" x14ac:dyDescent="0.3">
      <c r="B468" s="28"/>
    </row>
    <row r="469" spans="2:2" ht="15.75" customHeight="1" x14ac:dyDescent="0.3">
      <c r="B469" s="28"/>
    </row>
    <row r="470" spans="2:2" ht="15.75" customHeight="1" x14ac:dyDescent="0.3">
      <c r="B470" s="28"/>
    </row>
    <row r="471" spans="2:2" ht="15.75" customHeight="1" x14ac:dyDescent="0.3">
      <c r="B471" s="28"/>
    </row>
    <row r="472" spans="2:2" ht="15.75" customHeight="1" x14ac:dyDescent="0.3">
      <c r="B472" s="28"/>
    </row>
    <row r="473" spans="2:2" ht="15.75" customHeight="1" x14ac:dyDescent="0.3">
      <c r="B473" s="28"/>
    </row>
    <row r="474" spans="2:2" ht="15.75" customHeight="1" x14ac:dyDescent="0.3">
      <c r="B474" s="28"/>
    </row>
    <row r="475" spans="2:2" ht="15.75" customHeight="1" x14ac:dyDescent="0.3">
      <c r="B475" s="28"/>
    </row>
    <row r="476" spans="2:2" ht="15.75" customHeight="1" x14ac:dyDescent="0.3">
      <c r="B476" s="28"/>
    </row>
    <row r="477" spans="2:2" ht="15.75" customHeight="1" x14ac:dyDescent="0.3">
      <c r="B477" s="28"/>
    </row>
    <row r="478" spans="2:2" ht="15.75" customHeight="1" x14ac:dyDescent="0.3">
      <c r="B478" s="28"/>
    </row>
    <row r="479" spans="2:2" ht="15.75" customHeight="1" x14ac:dyDescent="0.3">
      <c r="B479" s="28"/>
    </row>
    <row r="480" spans="2:2" ht="15.75" customHeight="1" x14ac:dyDescent="0.3">
      <c r="B480" s="28"/>
    </row>
    <row r="481" spans="2:2" ht="15.75" customHeight="1" x14ac:dyDescent="0.3">
      <c r="B481" s="28"/>
    </row>
    <row r="482" spans="2:2" ht="15.75" customHeight="1" x14ac:dyDescent="0.3">
      <c r="B482" s="28"/>
    </row>
    <row r="483" spans="2:2" ht="15.75" customHeight="1" x14ac:dyDescent="0.3">
      <c r="B483" s="28"/>
    </row>
    <row r="484" spans="2:2" ht="15.75" customHeight="1" x14ac:dyDescent="0.3">
      <c r="B484" s="28"/>
    </row>
    <row r="485" spans="2:2" ht="15.75" customHeight="1" x14ac:dyDescent="0.3">
      <c r="B485" s="28"/>
    </row>
    <row r="486" spans="2:2" ht="15.75" customHeight="1" x14ac:dyDescent="0.3">
      <c r="B486" s="28"/>
    </row>
    <row r="487" spans="2:2" ht="15.75" customHeight="1" x14ac:dyDescent="0.3">
      <c r="B487" s="28"/>
    </row>
    <row r="488" spans="2:2" ht="15.75" customHeight="1" x14ac:dyDescent="0.3">
      <c r="B488" s="28"/>
    </row>
    <row r="489" spans="2:2" ht="15.75" customHeight="1" x14ac:dyDescent="0.3">
      <c r="B489" s="28"/>
    </row>
    <row r="490" spans="2:2" ht="15.75" customHeight="1" x14ac:dyDescent="0.3">
      <c r="B490" s="28"/>
    </row>
    <row r="491" spans="2:2" ht="15.75" customHeight="1" x14ac:dyDescent="0.3">
      <c r="B491" s="28"/>
    </row>
    <row r="492" spans="2:2" ht="15.75" customHeight="1" x14ac:dyDescent="0.3">
      <c r="B492" s="28"/>
    </row>
    <row r="493" spans="2:2" ht="15.75" customHeight="1" x14ac:dyDescent="0.3">
      <c r="B493" s="28"/>
    </row>
    <row r="494" spans="2:2" ht="15.75" customHeight="1" x14ac:dyDescent="0.3">
      <c r="B494" s="28"/>
    </row>
    <row r="495" spans="2:2" ht="15.75" customHeight="1" x14ac:dyDescent="0.3">
      <c r="B495" s="28"/>
    </row>
    <row r="496" spans="2:2" ht="15.75" customHeight="1" x14ac:dyDescent="0.3">
      <c r="B496" s="28"/>
    </row>
    <row r="497" spans="2:2" ht="15.75" customHeight="1" x14ac:dyDescent="0.3">
      <c r="B497" s="28"/>
    </row>
    <row r="498" spans="2:2" ht="15.75" customHeight="1" x14ac:dyDescent="0.3">
      <c r="B498" s="28"/>
    </row>
    <row r="499" spans="2:2" ht="15.75" customHeight="1" x14ac:dyDescent="0.3">
      <c r="B499" s="28"/>
    </row>
    <row r="500" spans="2:2" ht="15.75" customHeight="1" x14ac:dyDescent="0.3">
      <c r="B500" s="28"/>
    </row>
    <row r="501" spans="2:2" ht="15.75" customHeight="1" x14ac:dyDescent="0.3">
      <c r="B501" s="28"/>
    </row>
    <row r="502" spans="2:2" ht="15.75" customHeight="1" x14ac:dyDescent="0.3">
      <c r="B502" s="28"/>
    </row>
    <row r="503" spans="2:2" ht="15.75" customHeight="1" x14ac:dyDescent="0.3">
      <c r="B503" s="28"/>
    </row>
    <row r="504" spans="2:2" ht="15.75" customHeight="1" x14ac:dyDescent="0.3">
      <c r="B504" s="28"/>
    </row>
    <row r="505" spans="2:2" ht="15.75" customHeight="1" x14ac:dyDescent="0.3">
      <c r="B505" s="28"/>
    </row>
    <row r="506" spans="2:2" ht="15.75" customHeight="1" x14ac:dyDescent="0.3">
      <c r="B506" s="28"/>
    </row>
    <row r="507" spans="2:2" ht="15.75" customHeight="1" x14ac:dyDescent="0.3">
      <c r="B507" s="28"/>
    </row>
    <row r="508" spans="2:2" ht="15.75" customHeight="1" x14ac:dyDescent="0.3">
      <c r="B508" s="28"/>
    </row>
    <row r="509" spans="2:2" ht="15.75" customHeight="1" x14ac:dyDescent="0.3">
      <c r="B509" s="28"/>
    </row>
    <row r="510" spans="2:2" ht="15.75" customHeight="1" x14ac:dyDescent="0.3">
      <c r="B510" s="28"/>
    </row>
    <row r="511" spans="2:2" ht="15.75" customHeight="1" x14ac:dyDescent="0.3">
      <c r="B511" s="28"/>
    </row>
    <row r="512" spans="2:2" ht="15.75" customHeight="1" x14ac:dyDescent="0.3">
      <c r="B512" s="28"/>
    </row>
    <row r="513" spans="2:2" ht="15.75" customHeight="1" x14ac:dyDescent="0.3">
      <c r="B513" s="28"/>
    </row>
    <row r="514" spans="2:2" ht="15.75" customHeight="1" x14ac:dyDescent="0.3">
      <c r="B514" s="28"/>
    </row>
    <row r="515" spans="2:2" ht="15.75" customHeight="1" x14ac:dyDescent="0.3">
      <c r="B515" s="28"/>
    </row>
    <row r="516" spans="2:2" ht="15.75" customHeight="1" x14ac:dyDescent="0.3">
      <c r="B516" s="28"/>
    </row>
    <row r="517" spans="2:2" ht="15.75" customHeight="1" x14ac:dyDescent="0.3">
      <c r="B517" s="28"/>
    </row>
    <row r="518" spans="2:2" ht="15.75" customHeight="1" x14ac:dyDescent="0.3">
      <c r="B518" s="28"/>
    </row>
    <row r="519" spans="2:2" ht="15.75" customHeight="1" x14ac:dyDescent="0.3">
      <c r="B519" s="28"/>
    </row>
    <row r="520" spans="2:2" ht="15.75" customHeight="1" x14ac:dyDescent="0.3">
      <c r="B520" s="28"/>
    </row>
    <row r="521" spans="2:2" ht="15.75" customHeight="1" x14ac:dyDescent="0.3">
      <c r="B521" s="28"/>
    </row>
    <row r="522" spans="2:2" ht="15.75" customHeight="1" x14ac:dyDescent="0.3">
      <c r="B522" s="28"/>
    </row>
    <row r="523" spans="2:2" ht="15.75" customHeight="1" x14ac:dyDescent="0.3">
      <c r="B523" s="28"/>
    </row>
    <row r="524" spans="2:2" ht="15.75" customHeight="1" x14ac:dyDescent="0.3">
      <c r="B524" s="28"/>
    </row>
    <row r="525" spans="2:2" ht="15.75" customHeight="1" x14ac:dyDescent="0.3">
      <c r="B525" s="28"/>
    </row>
    <row r="526" spans="2:2" ht="15.75" customHeight="1" x14ac:dyDescent="0.3">
      <c r="B526" s="28"/>
    </row>
    <row r="527" spans="2:2" ht="15.75" customHeight="1" x14ac:dyDescent="0.3">
      <c r="B527" s="28"/>
    </row>
    <row r="528" spans="2:2" ht="15.75" customHeight="1" x14ac:dyDescent="0.3">
      <c r="B528" s="28"/>
    </row>
    <row r="529" spans="2:2" ht="15.75" customHeight="1" x14ac:dyDescent="0.3">
      <c r="B529" s="28"/>
    </row>
    <row r="530" spans="2:2" ht="15.75" customHeight="1" x14ac:dyDescent="0.3">
      <c r="B530" s="28"/>
    </row>
    <row r="531" spans="2:2" ht="15.75" customHeight="1" x14ac:dyDescent="0.3">
      <c r="B531" s="28"/>
    </row>
    <row r="532" spans="2:2" ht="15.75" customHeight="1" x14ac:dyDescent="0.3">
      <c r="B532" s="28"/>
    </row>
    <row r="533" spans="2:2" ht="15.75" customHeight="1" x14ac:dyDescent="0.3">
      <c r="B533" s="28"/>
    </row>
    <row r="534" spans="2:2" ht="15.75" customHeight="1" x14ac:dyDescent="0.3">
      <c r="B534" s="28"/>
    </row>
    <row r="535" spans="2:2" ht="15.75" customHeight="1" x14ac:dyDescent="0.3">
      <c r="B535" s="28"/>
    </row>
    <row r="536" spans="2:2" ht="15.75" customHeight="1" x14ac:dyDescent="0.3">
      <c r="B536" s="28"/>
    </row>
    <row r="537" spans="2:2" ht="15.75" customHeight="1" x14ac:dyDescent="0.3">
      <c r="B537" s="28"/>
    </row>
    <row r="538" spans="2:2" ht="15.75" customHeight="1" x14ac:dyDescent="0.3">
      <c r="B538" s="28"/>
    </row>
    <row r="539" spans="2:2" ht="15.75" customHeight="1" x14ac:dyDescent="0.3">
      <c r="B539" s="28"/>
    </row>
    <row r="540" spans="2:2" ht="15.75" customHeight="1" x14ac:dyDescent="0.3">
      <c r="B540" s="28"/>
    </row>
    <row r="541" spans="2:2" ht="15.75" customHeight="1" x14ac:dyDescent="0.3">
      <c r="B541" s="28"/>
    </row>
    <row r="542" spans="2:2" ht="15.75" customHeight="1" x14ac:dyDescent="0.3">
      <c r="B542" s="28"/>
    </row>
    <row r="543" spans="2:2" ht="15.75" customHeight="1" x14ac:dyDescent="0.3">
      <c r="B543" s="28"/>
    </row>
    <row r="544" spans="2:2" ht="15.75" customHeight="1" x14ac:dyDescent="0.3">
      <c r="B544" s="28"/>
    </row>
    <row r="545" spans="2:2" ht="15.75" customHeight="1" x14ac:dyDescent="0.3">
      <c r="B545" s="28"/>
    </row>
    <row r="546" spans="2:2" ht="15.75" customHeight="1" x14ac:dyDescent="0.3">
      <c r="B546" s="28"/>
    </row>
    <row r="547" spans="2:2" ht="15.75" customHeight="1" x14ac:dyDescent="0.3">
      <c r="B547" s="28"/>
    </row>
    <row r="548" spans="2:2" ht="15.75" customHeight="1" x14ac:dyDescent="0.3">
      <c r="B548" s="28"/>
    </row>
    <row r="549" spans="2:2" ht="15.75" customHeight="1" x14ac:dyDescent="0.3">
      <c r="B549" s="28"/>
    </row>
    <row r="550" spans="2:2" ht="15.75" customHeight="1" x14ac:dyDescent="0.3">
      <c r="B550" s="28"/>
    </row>
    <row r="551" spans="2:2" ht="15.75" customHeight="1" x14ac:dyDescent="0.3">
      <c r="B551" s="28"/>
    </row>
    <row r="552" spans="2:2" ht="15.75" customHeight="1" x14ac:dyDescent="0.3">
      <c r="B552" s="28"/>
    </row>
    <row r="553" spans="2:2" ht="15.75" customHeight="1" x14ac:dyDescent="0.3">
      <c r="B553" s="28"/>
    </row>
    <row r="554" spans="2:2" ht="15.75" customHeight="1" x14ac:dyDescent="0.3">
      <c r="B554" s="28"/>
    </row>
    <row r="555" spans="2:2" ht="15.75" customHeight="1" x14ac:dyDescent="0.3">
      <c r="B555" s="28"/>
    </row>
    <row r="556" spans="2:2" ht="15.75" customHeight="1" x14ac:dyDescent="0.3">
      <c r="B556" s="28"/>
    </row>
    <row r="557" spans="2:2" ht="15.75" customHeight="1" x14ac:dyDescent="0.3">
      <c r="B557" s="28"/>
    </row>
    <row r="558" spans="2:2" ht="15.75" customHeight="1" x14ac:dyDescent="0.3">
      <c r="B558" s="28"/>
    </row>
    <row r="559" spans="2:2" ht="15.75" customHeight="1" x14ac:dyDescent="0.3">
      <c r="B559" s="28"/>
    </row>
    <row r="560" spans="2:2" ht="15.75" customHeight="1" x14ac:dyDescent="0.3">
      <c r="B560" s="28"/>
    </row>
    <row r="561" spans="2:2" ht="15.75" customHeight="1" x14ac:dyDescent="0.3">
      <c r="B561" s="28"/>
    </row>
    <row r="562" spans="2:2" ht="15.75" customHeight="1" x14ac:dyDescent="0.3">
      <c r="B562" s="28"/>
    </row>
    <row r="563" spans="2:2" ht="15.75" customHeight="1" x14ac:dyDescent="0.3">
      <c r="B563" s="28"/>
    </row>
    <row r="564" spans="2:2" ht="15.75" customHeight="1" x14ac:dyDescent="0.3">
      <c r="B564" s="28"/>
    </row>
    <row r="565" spans="2:2" ht="15.75" customHeight="1" x14ac:dyDescent="0.3">
      <c r="B565" s="28"/>
    </row>
    <row r="566" spans="2:2" ht="15.75" customHeight="1" x14ac:dyDescent="0.3">
      <c r="B566" s="28"/>
    </row>
    <row r="567" spans="2:2" ht="15.75" customHeight="1" x14ac:dyDescent="0.3">
      <c r="B567" s="28"/>
    </row>
    <row r="568" spans="2:2" ht="15.75" customHeight="1" x14ac:dyDescent="0.3">
      <c r="B568" s="28"/>
    </row>
    <row r="569" spans="2:2" ht="15.75" customHeight="1" x14ac:dyDescent="0.3">
      <c r="B569" s="28"/>
    </row>
    <row r="570" spans="2:2" ht="15.75" customHeight="1" x14ac:dyDescent="0.3">
      <c r="B570" s="28"/>
    </row>
    <row r="571" spans="2:2" ht="15.75" customHeight="1" x14ac:dyDescent="0.3">
      <c r="B571" s="28"/>
    </row>
    <row r="572" spans="2:2" ht="15.75" customHeight="1" x14ac:dyDescent="0.3">
      <c r="B572" s="28"/>
    </row>
    <row r="573" spans="2:2" ht="15.75" customHeight="1" x14ac:dyDescent="0.3">
      <c r="B573" s="28"/>
    </row>
    <row r="574" spans="2:2" ht="15.75" customHeight="1" x14ac:dyDescent="0.3">
      <c r="B574" s="28"/>
    </row>
    <row r="575" spans="2:2" ht="15.75" customHeight="1" x14ac:dyDescent="0.3">
      <c r="B575" s="28"/>
    </row>
    <row r="576" spans="2:2" ht="15.75" customHeight="1" x14ac:dyDescent="0.3">
      <c r="B576" s="28"/>
    </row>
    <row r="577" spans="2:2" ht="15.75" customHeight="1" x14ac:dyDescent="0.3">
      <c r="B577" s="28"/>
    </row>
    <row r="578" spans="2:2" ht="15.75" customHeight="1" x14ac:dyDescent="0.3">
      <c r="B578" s="28"/>
    </row>
    <row r="579" spans="2:2" ht="15.75" customHeight="1" x14ac:dyDescent="0.3">
      <c r="B579" s="28"/>
    </row>
    <row r="580" spans="2:2" ht="15.75" customHeight="1" x14ac:dyDescent="0.3">
      <c r="B580" s="28"/>
    </row>
    <row r="581" spans="2:2" ht="15.75" customHeight="1" x14ac:dyDescent="0.3">
      <c r="B581" s="28"/>
    </row>
    <row r="582" spans="2:2" ht="15.75" customHeight="1" x14ac:dyDescent="0.3">
      <c r="B582" s="28"/>
    </row>
    <row r="583" spans="2:2" ht="15.75" customHeight="1" x14ac:dyDescent="0.3">
      <c r="B583" s="28"/>
    </row>
    <row r="584" spans="2:2" ht="15.75" customHeight="1" x14ac:dyDescent="0.3">
      <c r="B584" s="28"/>
    </row>
    <row r="585" spans="2:2" ht="15.75" customHeight="1" x14ac:dyDescent="0.3">
      <c r="B585" s="28"/>
    </row>
    <row r="586" spans="2:2" ht="15.75" customHeight="1" x14ac:dyDescent="0.3">
      <c r="B586" s="28"/>
    </row>
    <row r="587" spans="2:2" ht="15.75" customHeight="1" x14ac:dyDescent="0.3">
      <c r="B587" s="28"/>
    </row>
    <row r="588" spans="2:2" ht="15.75" customHeight="1" x14ac:dyDescent="0.3">
      <c r="B588" s="28"/>
    </row>
    <row r="589" spans="2:2" ht="15.75" customHeight="1" x14ac:dyDescent="0.3">
      <c r="B589" s="28"/>
    </row>
    <row r="590" spans="2:2" ht="15.75" customHeight="1" x14ac:dyDescent="0.3">
      <c r="B590" s="28"/>
    </row>
    <row r="591" spans="2:2" ht="15.75" customHeight="1" x14ac:dyDescent="0.3">
      <c r="B591" s="28"/>
    </row>
    <row r="592" spans="2:2" ht="15.75" customHeight="1" x14ac:dyDescent="0.3">
      <c r="B592" s="28"/>
    </row>
    <row r="593" spans="2:2" ht="15.75" customHeight="1" x14ac:dyDescent="0.3">
      <c r="B593" s="28"/>
    </row>
    <row r="594" spans="2:2" ht="15.75" customHeight="1" x14ac:dyDescent="0.3">
      <c r="B594" s="28"/>
    </row>
    <row r="595" spans="2:2" ht="15.75" customHeight="1" x14ac:dyDescent="0.3">
      <c r="B595" s="28"/>
    </row>
    <row r="596" spans="2:2" ht="15.75" customHeight="1" x14ac:dyDescent="0.3">
      <c r="B596" s="28"/>
    </row>
    <row r="597" spans="2:2" ht="15.75" customHeight="1" x14ac:dyDescent="0.3">
      <c r="B597" s="28"/>
    </row>
    <row r="598" spans="2:2" ht="15.75" customHeight="1" x14ac:dyDescent="0.3">
      <c r="B598" s="28"/>
    </row>
    <row r="599" spans="2:2" ht="15.75" customHeight="1" x14ac:dyDescent="0.3">
      <c r="B599" s="28"/>
    </row>
    <row r="600" spans="2:2" ht="15.75" customHeight="1" x14ac:dyDescent="0.3">
      <c r="B600" s="28"/>
    </row>
    <row r="601" spans="2:2" ht="15.75" customHeight="1" x14ac:dyDescent="0.3">
      <c r="B601" s="28"/>
    </row>
    <row r="602" spans="2:2" ht="15.75" customHeight="1" x14ac:dyDescent="0.3">
      <c r="B602" s="28"/>
    </row>
    <row r="603" spans="2:2" ht="15.75" customHeight="1" x14ac:dyDescent="0.3">
      <c r="B603" s="28"/>
    </row>
    <row r="604" spans="2:2" ht="15.75" customHeight="1" x14ac:dyDescent="0.3">
      <c r="B604" s="28"/>
    </row>
    <row r="605" spans="2:2" ht="15.75" customHeight="1" x14ac:dyDescent="0.3">
      <c r="B605" s="28"/>
    </row>
    <row r="606" spans="2:2" ht="15.75" customHeight="1" x14ac:dyDescent="0.3">
      <c r="B606" s="28"/>
    </row>
    <row r="607" spans="2:2" ht="15.75" customHeight="1" x14ac:dyDescent="0.3">
      <c r="B607" s="28"/>
    </row>
    <row r="608" spans="2:2" ht="15.75" customHeight="1" x14ac:dyDescent="0.3">
      <c r="B608" s="28"/>
    </row>
    <row r="609" spans="2:2" ht="15.75" customHeight="1" x14ac:dyDescent="0.3">
      <c r="B609" s="28"/>
    </row>
    <row r="610" spans="2:2" ht="15.75" customHeight="1" x14ac:dyDescent="0.3">
      <c r="B610" s="28"/>
    </row>
    <row r="611" spans="2:2" ht="15.75" customHeight="1" x14ac:dyDescent="0.3">
      <c r="B611" s="28"/>
    </row>
    <row r="612" spans="2:2" ht="15.75" customHeight="1" x14ac:dyDescent="0.3">
      <c r="B612" s="28"/>
    </row>
    <row r="613" spans="2:2" ht="15.75" customHeight="1" x14ac:dyDescent="0.3">
      <c r="B613" s="28"/>
    </row>
    <row r="614" spans="2:2" ht="15.75" customHeight="1" x14ac:dyDescent="0.3">
      <c r="B614" s="28"/>
    </row>
    <row r="615" spans="2:2" ht="15.75" customHeight="1" x14ac:dyDescent="0.3">
      <c r="B615" s="28"/>
    </row>
    <row r="616" spans="2:2" ht="15.75" customHeight="1" x14ac:dyDescent="0.3">
      <c r="B616" s="28"/>
    </row>
    <row r="617" spans="2:2" ht="15.75" customHeight="1" x14ac:dyDescent="0.3">
      <c r="B617" s="28"/>
    </row>
    <row r="618" spans="2:2" ht="15.75" customHeight="1" x14ac:dyDescent="0.3">
      <c r="B618" s="28"/>
    </row>
    <row r="619" spans="2:2" ht="15.75" customHeight="1" x14ac:dyDescent="0.3">
      <c r="B619" s="28"/>
    </row>
    <row r="620" spans="2:2" ht="15.75" customHeight="1" x14ac:dyDescent="0.3">
      <c r="B620" s="28"/>
    </row>
    <row r="621" spans="2:2" ht="15.75" customHeight="1" x14ac:dyDescent="0.3">
      <c r="B621" s="28"/>
    </row>
    <row r="622" spans="2:2" ht="15.75" customHeight="1" x14ac:dyDescent="0.3">
      <c r="B622" s="28"/>
    </row>
    <row r="623" spans="2:2" ht="15.75" customHeight="1" x14ac:dyDescent="0.3">
      <c r="B623" s="28"/>
    </row>
    <row r="624" spans="2:2" ht="15.75" customHeight="1" x14ac:dyDescent="0.3">
      <c r="B624" s="28"/>
    </row>
    <row r="625" spans="2:2" ht="15.75" customHeight="1" x14ac:dyDescent="0.3">
      <c r="B625" s="28"/>
    </row>
    <row r="626" spans="2:2" ht="15.75" customHeight="1" x14ac:dyDescent="0.3">
      <c r="B626" s="28"/>
    </row>
    <row r="627" spans="2:2" ht="15.75" customHeight="1" x14ac:dyDescent="0.3">
      <c r="B627" s="28"/>
    </row>
    <row r="628" spans="2:2" ht="15.75" customHeight="1" x14ac:dyDescent="0.3">
      <c r="B628" s="28"/>
    </row>
    <row r="629" spans="2:2" ht="15.75" customHeight="1" x14ac:dyDescent="0.3">
      <c r="B629" s="28"/>
    </row>
    <row r="630" spans="2:2" ht="15.75" customHeight="1" x14ac:dyDescent="0.3">
      <c r="B630" s="28"/>
    </row>
    <row r="631" spans="2:2" ht="15.75" customHeight="1" x14ac:dyDescent="0.3">
      <c r="B631" s="28"/>
    </row>
    <row r="632" spans="2:2" ht="15.75" customHeight="1" x14ac:dyDescent="0.3">
      <c r="B632" s="28"/>
    </row>
    <row r="633" spans="2:2" ht="15.75" customHeight="1" x14ac:dyDescent="0.3">
      <c r="B633" s="28"/>
    </row>
    <row r="634" spans="2:2" ht="15.75" customHeight="1" x14ac:dyDescent="0.3">
      <c r="B634" s="28"/>
    </row>
    <row r="635" spans="2:2" ht="15.75" customHeight="1" x14ac:dyDescent="0.3">
      <c r="B635" s="28"/>
    </row>
    <row r="636" spans="2:2" ht="15.75" customHeight="1" x14ac:dyDescent="0.3">
      <c r="B636" s="28"/>
    </row>
    <row r="637" spans="2:2" ht="15.75" customHeight="1" x14ac:dyDescent="0.3">
      <c r="B637" s="28"/>
    </row>
    <row r="638" spans="2:2" ht="15.75" customHeight="1" x14ac:dyDescent="0.3">
      <c r="B638" s="28"/>
    </row>
    <row r="639" spans="2:2" ht="15.75" customHeight="1" x14ac:dyDescent="0.3">
      <c r="B639" s="28"/>
    </row>
    <row r="640" spans="2:2" ht="15.75" customHeight="1" x14ac:dyDescent="0.3">
      <c r="B640" s="28"/>
    </row>
    <row r="641" spans="2:2" ht="15.75" customHeight="1" x14ac:dyDescent="0.3">
      <c r="B641" s="28"/>
    </row>
    <row r="642" spans="2:2" ht="15.75" customHeight="1" x14ac:dyDescent="0.3">
      <c r="B642" s="28"/>
    </row>
    <row r="643" spans="2:2" ht="15.75" customHeight="1" x14ac:dyDescent="0.3">
      <c r="B643" s="28"/>
    </row>
    <row r="644" spans="2:2" ht="15.75" customHeight="1" x14ac:dyDescent="0.3">
      <c r="B644" s="28"/>
    </row>
    <row r="645" spans="2:2" ht="15.75" customHeight="1" x14ac:dyDescent="0.3">
      <c r="B645" s="28"/>
    </row>
    <row r="646" spans="2:2" ht="15.75" customHeight="1" x14ac:dyDescent="0.3">
      <c r="B646" s="28"/>
    </row>
    <row r="647" spans="2:2" ht="15.75" customHeight="1" x14ac:dyDescent="0.3">
      <c r="B647" s="28"/>
    </row>
    <row r="648" spans="2:2" ht="15.75" customHeight="1" x14ac:dyDescent="0.3">
      <c r="B648" s="28"/>
    </row>
    <row r="649" spans="2:2" ht="15.75" customHeight="1" x14ac:dyDescent="0.3">
      <c r="B649" s="28"/>
    </row>
    <row r="650" spans="2:2" ht="15.75" customHeight="1" x14ac:dyDescent="0.3">
      <c r="B650" s="28"/>
    </row>
    <row r="651" spans="2:2" ht="15.75" customHeight="1" x14ac:dyDescent="0.3">
      <c r="B651" s="28"/>
    </row>
    <row r="652" spans="2:2" ht="15.75" customHeight="1" x14ac:dyDescent="0.3">
      <c r="B652" s="28"/>
    </row>
    <row r="653" spans="2:2" ht="15.75" customHeight="1" x14ac:dyDescent="0.3">
      <c r="B653" s="28"/>
    </row>
    <row r="654" spans="2:2" ht="15.75" customHeight="1" x14ac:dyDescent="0.3">
      <c r="B654" s="28"/>
    </row>
    <row r="655" spans="2:2" ht="15.75" customHeight="1" x14ac:dyDescent="0.3">
      <c r="B655" s="28"/>
    </row>
    <row r="656" spans="2:2" ht="15.75" customHeight="1" x14ac:dyDescent="0.3">
      <c r="B656" s="28"/>
    </row>
    <row r="657" spans="2:2" ht="15.75" customHeight="1" x14ac:dyDescent="0.3">
      <c r="B657" s="28"/>
    </row>
    <row r="658" spans="2:2" ht="15.75" customHeight="1" x14ac:dyDescent="0.3">
      <c r="B658" s="28"/>
    </row>
    <row r="659" spans="2:2" ht="15.75" customHeight="1" x14ac:dyDescent="0.3">
      <c r="B659" s="28"/>
    </row>
    <row r="660" spans="2:2" ht="15.75" customHeight="1" x14ac:dyDescent="0.3">
      <c r="B660" s="28"/>
    </row>
    <row r="661" spans="2:2" ht="15.75" customHeight="1" x14ac:dyDescent="0.3">
      <c r="B661" s="28"/>
    </row>
    <row r="662" spans="2:2" ht="15.75" customHeight="1" x14ac:dyDescent="0.3">
      <c r="B662" s="28"/>
    </row>
    <row r="663" spans="2:2" ht="15.75" customHeight="1" x14ac:dyDescent="0.3">
      <c r="B663" s="28"/>
    </row>
    <row r="664" spans="2:2" ht="15.75" customHeight="1" x14ac:dyDescent="0.3">
      <c r="B664" s="28"/>
    </row>
    <row r="665" spans="2:2" ht="15.75" customHeight="1" x14ac:dyDescent="0.3">
      <c r="B665" s="28"/>
    </row>
    <row r="666" spans="2:2" ht="15.75" customHeight="1" x14ac:dyDescent="0.3">
      <c r="B666" s="28"/>
    </row>
    <row r="667" spans="2:2" ht="15.75" customHeight="1" x14ac:dyDescent="0.3">
      <c r="B667" s="28"/>
    </row>
    <row r="668" spans="2:2" ht="15.75" customHeight="1" x14ac:dyDescent="0.3">
      <c r="B668" s="28"/>
    </row>
    <row r="669" spans="2:2" ht="15.75" customHeight="1" x14ac:dyDescent="0.3">
      <c r="B669" s="28"/>
    </row>
    <row r="670" spans="2:2" ht="15.75" customHeight="1" x14ac:dyDescent="0.3">
      <c r="B670" s="28"/>
    </row>
    <row r="671" spans="2:2" ht="15.75" customHeight="1" x14ac:dyDescent="0.3">
      <c r="B671" s="28"/>
    </row>
    <row r="672" spans="2:2" ht="15.75" customHeight="1" x14ac:dyDescent="0.3">
      <c r="B672" s="28"/>
    </row>
    <row r="673" spans="2:2" ht="15.75" customHeight="1" x14ac:dyDescent="0.3">
      <c r="B673" s="28"/>
    </row>
    <row r="674" spans="2:2" ht="15.75" customHeight="1" x14ac:dyDescent="0.3">
      <c r="B674" s="28"/>
    </row>
    <row r="675" spans="2:2" ht="15.75" customHeight="1" x14ac:dyDescent="0.3">
      <c r="B675" s="28"/>
    </row>
    <row r="676" spans="2:2" ht="15.75" customHeight="1" x14ac:dyDescent="0.3">
      <c r="B676" s="28"/>
    </row>
    <row r="677" spans="2:2" ht="15.75" customHeight="1" x14ac:dyDescent="0.3">
      <c r="B677" s="28"/>
    </row>
    <row r="678" spans="2:2" ht="15.75" customHeight="1" x14ac:dyDescent="0.3">
      <c r="B678" s="28"/>
    </row>
    <row r="679" spans="2:2" ht="15.75" customHeight="1" x14ac:dyDescent="0.3">
      <c r="B679" s="28"/>
    </row>
    <row r="680" spans="2:2" ht="15.75" customHeight="1" x14ac:dyDescent="0.3">
      <c r="B680" s="28"/>
    </row>
    <row r="681" spans="2:2" ht="15.75" customHeight="1" x14ac:dyDescent="0.3">
      <c r="B681" s="28"/>
    </row>
    <row r="682" spans="2:2" ht="15.75" customHeight="1" x14ac:dyDescent="0.3">
      <c r="B682" s="28"/>
    </row>
    <row r="683" spans="2:2" ht="15.75" customHeight="1" x14ac:dyDescent="0.3">
      <c r="B683" s="28"/>
    </row>
    <row r="684" spans="2:2" ht="15.75" customHeight="1" x14ac:dyDescent="0.3">
      <c r="B684" s="28"/>
    </row>
    <row r="685" spans="2:2" ht="15.75" customHeight="1" x14ac:dyDescent="0.3">
      <c r="B685" s="28"/>
    </row>
    <row r="686" spans="2:2" ht="15.75" customHeight="1" x14ac:dyDescent="0.3">
      <c r="B686" s="28"/>
    </row>
    <row r="687" spans="2:2" ht="15.75" customHeight="1" x14ac:dyDescent="0.3">
      <c r="B687" s="28"/>
    </row>
    <row r="688" spans="2:2" ht="15.75" customHeight="1" x14ac:dyDescent="0.3">
      <c r="B688" s="28"/>
    </row>
    <row r="689" spans="2:2" ht="15.75" customHeight="1" x14ac:dyDescent="0.3">
      <c r="B689" s="28"/>
    </row>
    <row r="690" spans="2:2" ht="15.75" customHeight="1" x14ac:dyDescent="0.3">
      <c r="B690" s="28"/>
    </row>
    <row r="691" spans="2:2" ht="15.75" customHeight="1" x14ac:dyDescent="0.3">
      <c r="B691" s="28"/>
    </row>
    <row r="692" spans="2:2" ht="15.75" customHeight="1" x14ac:dyDescent="0.3">
      <c r="B692" s="28"/>
    </row>
    <row r="693" spans="2:2" ht="15.75" customHeight="1" x14ac:dyDescent="0.3">
      <c r="B693" s="28"/>
    </row>
    <row r="694" spans="2:2" ht="15.75" customHeight="1" x14ac:dyDescent="0.3">
      <c r="B694" s="28"/>
    </row>
    <row r="695" spans="2:2" ht="15.75" customHeight="1" x14ac:dyDescent="0.3">
      <c r="B695" s="28"/>
    </row>
    <row r="696" spans="2:2" ht="15.75" customHeight="1" x14ac:dyDescent="0.3">
      <c r="B696" s="28"/>
    </row>
    <row r="697" spans="2:2" ht="15.75" customHeight="1" x14ac:dyDescent="0.3">
      <c r="B697" s="28"/>
    </row>
    <row r="698" spans="2:2" ht="15.75" customHeight="1" x14ac:dyDescent="0.3">
      <c r="B698" s="28"/>
    </row>
    <row r="699" spans="2:2" ht="15.75" customHeight="1" x14ac:dyDescent="0.3">
      <c r="B699" s="28"/>
    </row>
    <row r="700" spans="2:2" ht="15.75" customHeight="1" x14ac:dyDescent="0.3">
      <c r="B700" s="28"/>
    </row>
    <row r="701" spans="2:2" ht="15.75" customHeight="1" x14ac:dyDescent="0.3">
      <c r="B701" s="28"/>
    </row>
    <row r="702" spans="2:2" ht="15.75" customHeight="1" x14ac:dyDescent="0.3">
      <c r="B702" s="28"/>
    </row>
    <row r="703" spans="2:2" ht="15.75" customHeight="1" x14ac:dyDescent="0.3">
      <c r="B703" s="28"/>
    </row>
    <row r="704" spans="2:2" ht="15.75" customHeight="1" x14ac:dyDescent="0.3">
      <c r="B704" s="28"/>
    </row>
    <row r="705" spans="2:2" ht="15.75" customHeight="1" x14ac:dyDescent="0.3">
      <c r="B705" s="28"/>
    </row>
    <row r="706" spans="2:2" ht="15.75" customHeight="1" x14ac:dyDescent="0.3">
      <c r="B706" s="28"/>
    </row>
    <row r="707" spans="2:2" ht="15.75" customHeight="1" x14ac:dyDescent="0.3">
      <c r="B707" s="28"/>
    </row>
    <row r="708" spans="2:2" ht="15.75" customHeight="1" x14ac:dyDescent="0.3">
      <c r="B708" s="28"/>
    </row>
    <row r="709" spans="2:2" ht="15.75" customHeight="1" x14ac:dyDescent="0.3">
      <c r="B709" s="28"/>
    </row>
    <row r="710" spans="2:2" ht="15.75" customHeight="1" x14ac:dyDescent="0.3">
      <c r="B710" s="28"/>
    </row>
    <row r="711" spans="2:2" ht="15.75" customHeight="1" x14ac:dyDescent="0.3">
      <c r="B711" s="28"/>
    </row>
    <row r="712" spans="2:2" ht="15.75" customHeight="1" x14ac:dyDescent="0.3">
      <c r="B712" s="28"/>
    </row>
    <row r="713" spans="2:2" ht="15.75" customHeight="1" x14ac:dyDescent="0.3">
      <c r="B713" s="28"/>
    </row>
    <row r="714" spans="2:2" ht="15.75" customHeight="1" x14ac:dyDescent="0.3">
      <c r="B714" s="28"/>
    </row>
    <row r="715" spans="2:2" ht="15.75" customHeight="1" x14ac:dyDescent="0.3">
      <c r="B715" s="28"/>
    </row>
    <row r="716" spans="2:2" ht="15.75" customHeight="1" x14ac:dyDescent="0.3">
      <c r="B716" s="28"/>
    </row>
    <row r="717" spans="2:2" ht="15.75" customHeight="1" x14ac:dyDescent="0.3">
      <c r="B717" s="28"/>
    </row>
    <row r="718" spans="2:2" ht="15.75" customHeight="1" x14ac:dyDescent="0.3">
      <c r="B718" s="28"/>
    </row>
    <row r="719" spans="2:2" ht="15.75" customHeight="1" x14ac:dyDescent="0.3">
      <c r="B719" s="28"/>
    </row>
    <row r="720" spans="2:2" ht="15.75" customHeight="1" x14ac:dyDescent="0.3">
      <c r="B720" s="28"/>
    </row>
    <row r="721" spans="2:2" ht="15.75" customHeight="1" x14ac:dyDescent="0.3">
      <c r="B721" s="28"/>
    </row>
    <row r="722" spans="2:2" ht="15.75" customHeight="1" x14ac:dyDescent="0.3">
      <c r="B722" s="28"/>
    </row>
    <row r="723" spans="2:2" ht="15.75" customHeight="1" x14ac:dyDescent="0.3">
      <c r="B723" s="28"/>
    </row>
    <row r="724" spans="2:2" ht="15.75" customHeight="1" x14ac:dyDescent="0.3">
      <c r="B724" s="28"/>
    </row>
    <row r="725" spans="2:2" ht="15.75" customHeight="1" x14ac:dyDescent="0.3">
      <c r="B725" s="28"/>
    </row>
    <row r="726" spans="2:2" ht="15.75" customHeight="1" x14ac:dyDescent="0.3">
      <c r="B726" s="28"/>
    </row>
    <row r="727" spans="2:2" ht="15.75" customHeight="1" x14ac:dyDescent="0.3">
      <c r="B727" s="28"/>
    </row>
    <row r="728" spans="2:2" ht="15.75" customHeight="1" x14ac:dyDescent="0.3">
      <c r="B728" s="28"/>
    </row>
    <row r="729" spans="2:2" ht="15.75" customHeight="1" x14ac:dyDescent="0.3">
      <c r="B729" s="28"/>
    </row>
    <row r="730" spans="2:2" ht="15.75" customHeight="1" x14ac:dyDescent="0.3">
      <c r="B730" s="28"/>
    </row>
    <row r="731" spans="2:2" ht="15.75" customHeight="1" x14ac:dyDescent="0.3">
      <c r="B731" s="28"/>
    </row>
    <row r="732" spans="2:2" ht="15.75" customHeight="1" x14ac:dyDescent="0.3">
      <c r="B732" s="28"/>
    </row>
    <row r="733" spans="2:2" ht="15.75" customHeight="1" x14ac:dyDescent="0.3">
      <c r="B733" s="28"/>
    </row>
    <row r="734" spans="2:2" ht="15.75" customHeight="1" x14ac:dyDescent="0.3">
      <c r="B734" s="28"/>
    </row>
    <row r="735" spans="2:2" ht="15.75" customHeight="1" x14ac:dyDescent="0.3">
      <c r="B735" s="28"/>
    </row>
    <row r="736" spans="2:2" ht="15.75" customHeight="1" x14ac:dyDescent="0.3">
      <c r="B736" s="28"/>
    </row>
    <row r="737" spans="2:2" ht="15.75" customHeight="1" x14ac:dyDescent="0.3">
      <c r="B737" s="28"/>
    </row>
    <row r="738" spans="2:2" ht="15.75" customHeight="1" x14ac:dyDescent="0.3">
      <c r="B738" s="28"/>
    </row>
    <row r="739" spans="2:2" ht="15.75" customHeight="1" x14ac:dyDescent="0.3">
      <c r="B739" s="28"/>
    </row>
    <row r="740" spans="2:2" ht="15.75" customHeight="1" x14ac:dyDescent="0.3">
      <c r="B740" s="28"/>
    </row>
    <row r="741" spans="2:2" ht="15.75" customHeight="1" x14ac:dyDescent="0.3">
      <c r="B741" s="28"/>
    </row>
    <row r="742" spans="2:2" ht="15.75" customHeight="1" x14ac:dyDescent="0.3">
      <c r="B742" s="28"/>
    </row>
    <row r="743" spans="2:2" ht="15.75" customHeight="1" x14ac:dyDescent="0.3">
      <c r="B743" s="28"/>
    </row>
    <row r="744" spans="2:2" ht="15.75" customHeight="1" x14ac:dyDescent="0.3">
      <c r="B744" s="28"/>
    </row>
    <row r="745" spans="2:2" ht="15.75" customHeight="1" x14ac:dyDescent="0.3">
      <c r="B745" s="28"/>
    </row>
    <row r="746" spans="2:2" ht="15.75" customHeight="1" x14ac:dyDescent="0.3">
      <c r="B746" s="28"/>
    </row>
    <row r="747" spans="2:2" ht="15.75" customHeight="1" x14ac:dyDescent="0.3">
      <c r="B747" s="28"/>
    </row>
    <row r="748" spans="2:2" ht="15.75" customHeight="1" x14ac:dyDescent="0.3">
      <c r="B748" s="28"/>
    </row>
    <row r="749" spans="2:2" ht="15.75" customHeight="1" x14ac:dyDescent="0.3">
      <c r="B749" s="28"/>
    </row>
    <row r="750" spans="2:2" ht="15.75" customHeight="1" x14ac:dyDescent="0.3">
      <c r="B750" s="28"/>
    </row>
    <row r="751" spans="2:2" ht="15.75" customHeight="1" x14ac:dyDescent="0.3">
      <c r="B751" s="28"/>
    </row>
    <row r="752" spans="2:2" ht="15.75" customHeight="1" x14ac:dyDescent="0.3">
      <c r="B752" s="28"/>
    </row>
    <row r="753" spans="2:2" ht="15.75" customHeight="1" x14ac:dyDescent="0.3">
      <c r="B753" s="28"/>
    </row>
    <row r="754" spans="2:2" ht="15.75" customHeight="1" x14ac:dyDescent="0.3">
      <c r="B754" s="28"/>
    </row>
    <row r="755" spans="2:2" ht="15.75" customHeight="1" x14ac:dyDescent="0.3">
      <c r="B755" s="28"/>
    </row>
    <row r="756" spans="2:2" ht="15.75" customHeight="1" x14ac:dyDescent="0.3">
      <c r="B756" s="28"/>
    </row>
    <row r="757" spans="2:2" ht="15.75" customHeight="1" x14ac:dyDescent="0.3">
      <c r="B757" s="28"/>
    </row>
    <row r="758" spans="2:2" ht="15.75" customHeight="1" x14ac:dyDescent="0.3">
      <c r="B758" s="28"/>
    </row>
    <row r="759" spans="2:2" ht="15.75" customHeight="1" x14ac:dyDescent="0.3">
      <c r="B759" s="28"/>
    </row>
    <row r="760" spans="2:2" ht="15.75" customHeight="1" x14ac:dyDescent="0.3">
      <c r="B760" s="28"/>
    </row>
    <row r="761" spans="2:2" ht="15.75" customHeight="1" x14ac:dyDescent="0.3">
      <c r="B761" s="28"/>
    </row>
    <row r="762" spans="2:2" ht="15.75" customHeight="1" x14ac:dyDescent="0.3">
      <c r="B762" s="28"/>
    </row>
    <row r="763" spans="2:2" ht="15.75" customHeight="1" x14ac:dyDescent="0.3">
      <c r="B763" s="28"/>
    </row>
    <row r="764" spans="2:2" ht="15.75" customHeight="1" x14ac:dyDescent="0.3">
      <c r="B764" s="28"/>
    </row>
    <row r="765" spans="2:2" ht="15.75" customHeight="1" x14ac:dyDescent="0.3">
      <c r="B765" s="28"/>
    </row>
    <row r="766" spans="2:2" ht="15.75" customHeight="1" x14ac:dyDescent="0.3">
      <c r="B766" s="28"/>
    </row>
    <row r="767" spans="2:2" ht="15.75" customHeight="1" x14ac:dyDescent="0.3">
      <c r="B767" s="28"/>
    </row>
    <row r="768" spans="2:2" ht="15.75" customHeight="1" x14ac:dyDescent="0.3">
      <c r="B768" s="28"/>
    </row>
    <row r="769" spans="2:2" ht="15.75" customHeight="1" x14ac:dyDescent="0.3">
      <c r="B769" s="28"/>
    </row>
    <row r="770" spans="2:2" ht="15.75" customHeight="1" x14ac:dyDescent="0.3">
      <c r="B770" s="28"/>
    </row>
    <row r="771" spans="2:2" ht="15.75" customHeight="1" x14ac:dyDescent="0.3">
      <c r="B771" s="28"/>
    </row>
    <row r="772" spans="2:2" ht="15.75" customHeight="1" x14ac:dyDescent="0.3">
      <c r="B772" s="28"/>
    </row>
    <row r="773" spans="2:2" ht="15.75" customHeight="1" x14ac:dyDescent="0.3">
      <c r="B773" s="28"/>
    </row>
    <row r="774" spans="2:2" ht="15.75" customHeight="1" x14ac:dyDescent="0.3">
      <c r="B774" s="28"/>
    </row>
    <row r="775" spans="2:2" ht="15.75" customHeight="1" x14ac:dyDescent="0.3">
      <c r="B775" s="28"/>
    </row>
    <row r="776" spans="2:2" ht="15.75" customHeight="1" x14ac:dyDescent="0.3">
      <c r="B776" s="28"/>
    </row>
    <row r="777" spans="2:2" ht="15.75" customHeight="1" x14ac:dyDescent="0.3">
      <c r="B777" s="28"/>
    </row>
    <row r="778" spans="2:2" ht="15.75" customHeight="1" x14ac:dyDescent="0.3">
      <c r="B778" s="28"/>
    </row>
    <row r="779" spans="2:2" ht="15.75" customHeight="1" x14ac:dyDescent="0.3">
      <c r="B779" s="28"/>
    </row>
    <row r="780" spans="2:2" ht="15.75" customHeight="1" x14ac:dyDescent="0.3">
      <c r="B780" s="28"/>
    </row>
    <row r="781" spans="2:2" ht="15.75" customHeight="1" x14ac:dyDescent="0.3">
      <c r="B781" s="28"/>
    </row>
    <row r="782" spans="2:2" ht="15.75" customHeight="1" x14ac:dyDescent="0.3">
      <c r="B782" s="28"/>
    </row>
    <row r="783" spans="2:2" ht="15.75" customHeight="1" x14ac:dyDescent="0.3">
      <c r="B783" s="28"/>
    </row>
    <row r="784" spans="2:2" ht="15.75" customHeight="1" x14ac:dyDescent="0.3">
      <c r="B784" s="28"/>
    </row>
    <row r="785" spans="2:2" ht="15.75" customHeight="1" x14ac:dyDescent="0.3">
      <c r="B785" s="28"/>
    </row>
    <row r="786" spans="2:2" ht="15.75" customHeight="1" x14ac:dyDescent="0.3">
      <c r="B786" s="28"/>
    </row>
    <row r="787" spans="2:2" ht="15.75" customHeight="1" x14ac:dyDescent="0.3">
      <c r="B787" s="28"/>
    </row>
    <row r="788" spans="2:2" ht="15.75" customHeight="1" x14ac:dyDescent="0.3">
      <c r="B788" s="28"/>
    </row>
    <row r="789" spans="2:2" ht="15.75" customHeight="1" x14ac:dyDescent="0.3">
      <c r="B789" s="28"/>
    </row>
    <row r="790" spans="2:2" ht="15.75" customHeight="1" x14ac:dyDescent="0.3">
      <c r="B790" s="28"/>
    </row>
    <row r="791" spans="2:2" ht="15.75" customHeight="1" x14ac:dyDescent="0.3">
      <c r="B791" s="28"/>
    </row>
    <row r="792" spans="2:2" ht="15.75" customHeight="1" x14ac:dyDescent="0.3">
      <c r="B792" s="28"/>
    </row>
    <row r="793" spans="2:2" ht="15.75" customHeight="1" x14ac:dyDescent="0.3">
      <c r="B793" s="28"/>
    </row>
    <row r="794" spans="2:2" ht="15.75" customHeight="1" x14ac:dyDescent="0.3">
      <c r="B794" s="28"/>
    </row>
    <row r="795" spans="2:2" ht="15.75" customHeight="1" x14ac:dyDescent="0.3">
      <c r="B795" s="28"/>
    </row>
    <row r="796" spans="2:2" ht="15.75" customHeight="1" x14ac:dyDescent="0.3">
      <c r="B796" s="28"/>
    </row>
    <row r="797" spans="2:2" ht="15.75" customHeight="1" x14ac:dyDescent="0.3">
      <c r="B797" s="28"/>
    </row>
    <row r="798" spans="2:2" ht="15.75" customHeight="1" x14ac:dyDescent="0.3">
      <c r="B798" s="28"/>
    </row>
    <row r="799" spans="2:2" ht="15.75" customHeight="1" x14ac:dyDescent="0.3">
      <c r="B799" s="28"/>
    </row>
    <row r="800" spans="2:2" ht="15.75" customHeight="1" x14ac:dyDescent="0.3">
      <c r="B800" s="28"/>
    </row>
    <row r="801" spans="2:2" ht="15.75" customHeight="1" x14ac:dyDescent="0.3">
      <c r="B801" s="28"/>
    </row>
    <row r="802" spans="2:2" ht="15.75" customHeight="1" x14ac:dyDescent="0.3">
      <c r="B802" s="28"/>
    </row>
    <row r="803" spans="2:2" ht="15.75" customHeight="1" x14ac:dyDescent="0.3">
      <c r="B803" s="28"/>
    </row>
    <row r="804" spans="2:2" ht="15.75" customHeight="1" x14ac:dyDescent="0.3">
      <c r="B804" s="28"/>
    </row>
    <row r="805" spans="2:2" ht="15.75" customHeight="1" x14ac:dyDescent="0.3">
      <c r="B805" s="28"/>
    </row>
    <row r="806" spans="2:2" ht="15.75" customHeight="1" x14ac:dyDescent="0.3">
      <c r="B806" s="28"/>
    </row>
    <row r="807" spans="2:2" ht="15.75" customHeight="1" x14ac:dyDescent="0.3">
      <c r="B807" s="28"/>
    </row>
    <row r="808" spans="2:2" ht="15.75" customHeight="1" x14ac:dyDescent="0.3">
      <c r="B808" s="28"/>
    </row>
    <row r="809" spans="2:2" ht="15.75" customHeight="1" x14ac:dyDescent="0.3">
      <c r="B809" s="28"/>
    </row>
    <row r="810" spans="2:2" ht="15.75" customHeight="1" x14ac:dyDescent="0.3">
      <c r="B810" s="28"/>
    </row>
    <row r="811" spans="2:2" ht="15.75" customHeight="1" x14ac:dyDescent="0.3">
      <c r="B811" s="28"/>
    </row>
    <row r="812" spans="2:2" ht="15.75" customHeight="1" x14ac:dyDescent="0.3">
      <c r="B812" s="28"/>
    </row>
    <row r="813" spans="2:2" ht="15.75" customHeight="1" x14ac:dyDescent="0.3">
      <c r="B813" s="28"/>
    </row>
    <row r="814" spans="2:2" ht="15.75" customHeight="1" x14ac:dyDescent="0.3">
      <c r="B814" s="28"/>
    </row>
    <row r="815" spans="2:2" ht="15.75" customHeight="1" x14ac:dyDescent="0.3">
      <c r="B815" s="28"/>
    </row>
    <row r="816" spans="2:2" ht="15.75" customHeight="1" x14ac:dyDescent="0.3">
      <c r="B816" s="28"/>
    </row>
    <row r="817" spans="2:2" ht="15.75" customHeight="1" x14ac:dyDescent="0.3">
      <c r="B817" s="28"/>
    </row>
    <row r="818" spans="2:2" ht="15.75" customHeight="1" x14ac:dyDescent="0.3">
      <c r="B818" s="28"/>
    </row>
    <row r="819" spans="2:2" ht="15.75" customHeight="1" x14ac:dyDescent="0.3">
      <c r="B819" s="28"/>
    </row>
    <row r="820" spans="2:2" ht="15.75" customHeight="1" x14ac:dyDescent="0.3">
      <c r="B820" s="28"/>
    </row>
    <row r="821" spans="2:2" ht="15.75" customHeight="1" x14ac:dyDescent="0.3">
      <c r="B821" s="28"/>
    </row>
    <row r="822" spans="2:2" ht="15.75" customHeight="1" x14ac:dyDescent="0.3">
      <c r="B822" s="28"/>
    </row>
    <row r="823" spans="2:2" ht="15.75" customHeight="1" x14ac:dyDescent="0.3">
      <c r="B823" s="28"/>
    </row>
    <row r="824" spans="2:2" ht="15.75" customHeight="1" x14ac:dyDescent="0.3">
      <c r="B824" s="28"/>
    </row>
    <row r="825" spans="2:2" ht="15.75" customHeight="1" x14ac:dyDescent="0.3">
      <c r="B825" s="28"/>
    </row>
    <row r="826" spans="2:2" ht="15.75" customHeight="1" x14ac:dyDescent="0.3">
      <c r="B826" s="28"/>
    </row>
    <row r="827" spans="2:2" ht="15.75" customHeight="1" x14ac:dyDescent="0.3">
      <c r="B827" s="28"/>
    </row>
    <row r="828" spans="2:2" ht="15.75" customHeight="1" x14ac:dyDescent="0.3">
      <c r="B828" s="28"/>
    </row>
    <row r="829" spans="2:2" ht="15.75" customHeight="1" x14ac:dyDescent="0.3">
      <c r="B829" s="28"/>
    </row>
    <row r="830" spans="2:2" ht="15.75" customHeight="1" x14ac:dyDescent="0.3">
      <c r="B830" s="28"/>
    </row>
    <row r="831" spans="2:2" ht="15.75" customHeight="1" x14ac:dyDescent="0.3">
      <c r="B831" s="28"/>
    </row>
    <row r="832" spans="2:2" ht="15.75" customHeight="1" x14ac:dyDescent="0.3">
      <c r="B832" s="28"/>
    </row>
    <row r="833" spans="2:2" ht="15.75" customHeight="1" x14ac:dyDescent="0.3">
      <c r="B833" s="28"/>
    </row>
    <row r="834" spans="2:2" ht="15.75" customHeight="1" x14ac:dyDescent="0.3">
      <c r="B834" s="28"/>
    </row>
    <row r="835" spans="2:2" ht="15.75" customHeight="1" x14ac:dyDescent="0.3">
      <c r="B835" s="28"/>
    </row>
    <row r="836" spans="2:2" ht="15.75" customHeight="1" x14ac:dyDescent="0.3">
      <c r="B836" s="28"/>
    </row>
    <row r="837" spans="2:2" ht="15.75" customHeight="1" x14ac:dyDescent="0.3">
      <c r="B837" s="28"/>
    </row>
    <row r="838" spans="2:2" ht="15.75" customHeight="1" x14ac:dyDescent="0.3">
      <c r="B838" s="28"/>
    </row>
    <row r="839" spans="2:2" ht="15.75" customHeight="1" x14ac:dyDescent="0.3">
      <c r="B839" s="28"/>
    </row>
    <row r="840" spans="2:2" ht="15.75" customHeight="1" x14ac:dyDescent="0.3">
      <c r="B840" s="28"/>
    </row>
    <row r="841" spans="2:2" ht="15.75" customHeight="1" x14ac:dyDescent="0.3">
      <c r="B841" s="28"/>
    </row>
    <row r="842" spans="2:2" ht="15.75" customHeight="1" x14ac:dyDescent="0.3">
      <c r="B842" s="28"/>
    </row>
    <row r="843" spans="2:2" ht="15.75" customHeight="1" x14ac:dyDescent="0.3">
      <c r="B843" s="28"/>
    </row>
    <row r="844" spans="2:2" ht="15.75" customHeight="1" x14ac:dyDescent="0.3">
      <c r="B844" s="28"/>
    </row>
    <row r="845" spans="2:2" ht="15.75" customHeight="1" x14ac:dyDescent="0.3">
      <c r="B845" s="28"/>
    </row>
    <row r="846" spans="2:2" ht="15.75" customHeight="1" x14ac:dyDescent="0.3">
      <c r="B846" s="28"/>
    </row>
    <row r="847" spans="2:2" ht="15.75" customHeight="1" x14ac:dyDescent="0.3">
      <c r="B847" s="28"/>
    </row>
    <row r="848" spans="2:2" ht="15.75" customHeight="1" x14ac:dyDescent="0.3">
      <c r="B848" s="28"/>
    </row>
    <row r="849" spans="2:2" ht="15.75" customHeight="1" x14ac:dyDescent="0.3">
      <c r="B849" s="28"/>
    </row>
    <row r="850" spans="2:2" ht="15.75" customHeight="1" x14ac:dyDescent="0.3">
      <c r="B850" s="28"/>
    </row>
    <row r="851" spans="2:2" ht="15.75" customHeight="1" x14ac:dyDescent="0.3">
      <c r="B851" s="28"/>
    </row>
    <row r="852" spans="2:2" ht="15.75" customHeight="1" x14ac:dyDescent="0.3">
      <c r="B852" s="28"/>
    </row>
    <row r="853" spans="2:2" ht="15.75" customHeight="1" x14ac:dyDescent="0.3">
      <c r="B853" s="28"/>
    </row>
    <row r="854" spans="2:2" ht="15.75" customHeight="1" x14ac:dyDescent="0.3">
      <c r="B854" s="28"/>
    </row>
    <row r="855" spans="2:2" ht="15.75" customHeight="1" x14ac:dyDescent="0.3">
      <c r="B855" s="28"/>
    </row>
    <row r="856" spans="2:2" ht="15.75" customHeight="1" x14ac:dyDescent="0.3">
      <c r="B856" s="28"/>
    </row>
    <row r="857" spans="2:2" ht="15.75" customHeight="1" x14ac:dyDescent="0.3">
      <c r="B857" s="28"/>
    </row>
    <row r="858" spans="2:2" ht="15.75" customHeight="1" x14ac:dyDescent="0.3">
      <c r="B858" s="28"/>
    </row>
    <row r="859" spans="2:2" ht="15.75" customHeight="1" x14ac:dyDescent="0.3">
      <c r="B859" s="28"/>
    </row>
    <row r="860" spans="2:2" ht="15.75" customHeight="1" x14ac:dyDescent="0.3">
      <c r="B860" s="28"/>
    </row>
    <row r="861" spans="2:2" ht="15.75" customHeight="1" x14ac:dyDescent="0.3">
      <c r="B861" s="28"/>
    </row>
    <row r="862" spans="2:2" ht="15.75" customHeight="1" x14ac:dyDescent="0.3">
      <c r="B862" s="28"/>
    </row>
    <row r="863" spans="2:2" ht="15.75" customHeight="1" x14ac:dyDescent="0.3">
      <c r="B863" s="28"/>
    </row>
    <row r="864" spans="2:2" ht="15.75" customHeight="1" x14ac:dyDescent="0.3">
      <c r="B864" s="28"/>
    </row>
    <row r="865" spans="2:2" ht="15.75" customHeight="1" x14ac:dyDescent="0.3">
      <c r="B865" s="28"/>
    </row>
    <row r="866" spans="2:2" ht="15.75" customHeight="1" x14ac:dyDescent="0.3">
      <c r="B866" s="28"/>
    </row>
    <row r="867" spans="2:2" ht="15.75" customHeight="1" x14ac:dyDescent="0.3">
      <c r="B867" s="28"/>
    </row>
    <row r="868" spans="2:2" ht="15.75" customHeight="1" x14ac:dyDescent="0.3">
      <c r="B868" s="28"/>
    </row>
    <row r="869" spans="2:2" ht="15.75" customHeight="1" x14ac:dyDescent="0.3">
      <c r="B869" s="28"/>
    </row>
    <row r="870" spans="2:2" ht="15.75" customHeight="1" x14ac:dyDescent="0.3">
      <c r="B870" s="28"/>
    </row>
    <row r="871" spans="2:2" ht="15.75" customHeight="1" x14ac:dyDescent="0.3">
      <c r="B871" s="28"/>
    </row>
    <row r="872" spans="2:2" ht="15.75" customHeight="1" x14ac:dyDescent="0.3">
      <c r="B872" s="28"/>
    </row>
    <row r="873" spans="2:2" ht="15.75" customHeight="1" x14ac:dyDescent="0.3">
      <c r="B873" s="28"/>
    </row>
    <row r="874" spans="2:2" ht="15.75" customHeight="1" x14ac:dyDescent="0.3">
      <c r="B874" s="28"/>
    </row>
    <row r="875" spans="2:2" ht="15.75" customHeight="1" x14ac:dyDescent="0.3">
      <c r="B875" s="28"/>
    </row>
    <row r="876" spans="2:2" ht="15.75" customHeight="1" x14ac:dyDescent="0.3">
      <c r="B876" s="28"/>
    </row>
    <row r="877" spans="2:2" ht="15.75" customHeight="1" x14ac:dyDescent="0.3">
      <c r="B877" s="28"/>
    </row>
    <row r="878" spans="2:2" ht="15.75" customHeight="1" x14ac:dyDescent="0.3">
      <c r="B878" s="28"/>
    </row>
    <row r="879" spans="2:2" ht="15.75" customHeight="1" x14ac:dyDescent="0.3">
      <c r="B879" s="28"/>
    </row>
    <row r="880" spans="2:2" ht="15.75" customHeight="1" x14ac:dyDescent="0.3">
      <c r="B880" s="28"/>
    </row>
    <row r="881" spans="2:2" ht="15.75" customHeight="1" x14ac:dyDescent="0.3">
      <c r="B881" s="28"/>
    </row>
    <row r="882" spans="2:2" ht="15.75" customHeight="1" x14ac:dyDescent="0.3">
      <c r="B882" s="28"/>
    </row>
    <row r="883" spans="2:2" ht="15.75" customHeight="1" x14ac:dyDescent="0.3">
      <c r="B883" s="28"/>
    </row>
    <row r="884" spans="2:2" ht="15.75" customHeight="1" x14ac:dyDescent="0.3">
      <c r="B884" s="28"/>
    </row>
    <row r="885" spans="2:2" ht="15.75" customHeight="1" x14ac:dyDescent="0.3">
      <c r="B885" s="28"/>
    </row>
    <row r="886" spans="2:2" ht="15.75" customHeight="1" x14ac:dyDescent="0.3">
      <c r="B886" s="28"/>
    </row>
    <row r="887" spans="2:2" ht="15.75" customHeight="1" x14ac:dyDescent="0.3">
      <c r="B887" s="28"/>
    </row>
    <row r="888" spans="2:2" ht="15.75" customHeight="1" x14ac:dyDescent="0.3">
      <c r="B888" s="28"/>
    </row>
    <row r="889" spans="2:2" ht="15.75" customHeight="1" x14ac:dyDescent="0.3">
      <c r="B889" s="28"/>
    </row>
    <row r="890" spans="2:2" ht="15.75" customHeight="1" x14ac:dyDescent="0.3">
      <c r="B890" s="28"/>
    </row>
    <row r="891" spans="2:2" ht="15.75" customHeight="1" x14ac:dyDescent="0.3">
      <c r="B891" s="28"/>
    </row>
    <row r="892" spans="2:2" ht="15.75" customHeight="1" x14ac:dyDescent="0.3">
      <c r="B892" s="28"/>
    </row>
    <row r="893" spans="2:2" ht="15.75" customHeight="1" x14ac:dyDescent="0.3">
      <c r="B893" s="28"/>
    </row>
    <row r="894" spans="2:2" ht="15.75" customHeight="1" x14ac:dyDescent="0.3">
      <c r="B894" s="28"/>
    </row>
    <row r="895" spans="2:2" ht="15.75" customHeight="1" x14ac:dyDescent="0.3">
      <c r="B895" s="28"/>
    </row>
    <row r="896" spans="2:2" ht="15.75" customHeight="1" x14ac:dyDescent="0.3">
      <c r="B896" s="28"/>
    </row>
    <row r="897" spans="2:2" ht="15.75" customHeight="1" x14ac:dyDescent="0.3">
      <c r="B897" s="28"/>
    </row>
    <row r="898" spans="2:2" ht="15.75" customHeight="1" x14ac:dyDescent="0.3">
      <c r="B898" s="28"/>
    </row>
    <row r="899" spans="2:2" ht="15.75" customHeight="1" x14ac:dyDescent="0.3">
      <c r="B899" s="28"/>
    </row>
    <row r="900" spans="2:2" ht="15.75" customHeight="1" x14ac:dyDescent="0.3">
      <c r="B900" s="28"/>
    </row>
    <row r="901" spans="2:2" ht="15.75" customHeight="1" x14ac:dyDescent="0.3">
      <c r="B901" s="28"/>
    </row>
    <row r="902" spans="2:2" ht="15.75" customHeight="1" x14ac:dyDescent="0.3">
      <c r="B902" s="28"/>
    </row>
    <row r="903" spans="2:2" ht="15.75" customHeight="1" x14ac:dyDescent="0.3">
      <c r="B903" s="28"/>
    </row>
    <row r="904" spans="2:2" ht="15.75" customHeight="1" x14ac:dyDescent="0.3">
      <c r="B904" s="28"/>
    </row>
    <row r="905" spans="2:2" ht="15.75" customHeight="1" x14ac:dyDescent="0.3">
      <c r="B905" s="28"/>
    </row>
    <row r="906" spans="2:2" ht="15.75" customHeight="1" x14ac:dyDescent="0.3">
      <c r="B906" s="28"/>
    </row>
    <row r="907" spans="2:2" ht="15.75" customHeight="1" x14ac:dyDescent="0.3">
      <c r="B907" s="28"/>
    </row>
    <row r="908" spans="2:2" ht="15.75" customHeight="1" x14ac:dyDescent="0.3">
      <c r="B908" s="28"/>
    </row>
    <row r="909" spans="2:2" ht="15.75" customHeight="1" x14ac:dyDescent="0.3">
      <c r="B909" s="28"/>
    </row>
    <row r="910" spans="2:2" ht="15.75" customHeight="1" x14ac:dyDescent="0.3">
      <c r="B910" s="28"/>
    </row>
    <row r="911" spans="2:2" ht="15.75" customHeight="1" x14ac:dyDescent="0.3">
      <c r="B911" s="28"/>
    </row>
    <row r="912" spans="2:2" ht="15.75" customHeight="1" x14ac:dyDescent="0.3">
      <c r="B912" s="28"/>
    </row>
    <row r="913" spans="2:2" ht="15.75" customHeight="1" x14ac:dyDescent="0.3">
      <c r="B913" s="28"/>
    </row>
    <row r="914" spans="2:2" ht="15.75" customHeight="1" x14ac:dyDescent="0.3">
      <c r="B914" s="28"/>
    </row>
    <row r="915" spans="2:2" ht="15.75" customHeight="1" x14ac:dyDescent="0.3">
      <c r="B915" s="28"/>
    </row>
    <row r="916" spans="2:2" ht="15.75" customHeight="1" x14ac:dyDescent="0.3">
      <c r="B916" s="28"/>
    </row>
    <row r="917" spans="2:2" ht="15.75" customHeight="1" x14ac:dyDescent="0.3">
      <c r="B917" s="28"/>
    </row>
    <row r="918" spans="2:2" ht="15.75" customHeight="1" x14ac:dyDescent="0.3">
      <c r="B918" s="28"/>
    </row>
    <row r="919" spans="2:2" ht="15.75" customHeight="1" x14ac:dyDescent="0.3">
      <c r="B919" s="28"/>
    </row>
    <row r="920" spans="2:2" ht="15.75" customHeight="1" x14ac:dyDescent="0.3">
      <c r="B920" s="28"/>
    </row>
    <row r="921" spans="2:2" ht="15.75" customHeight="1" x14ac:dyDescent="0.3">
      <c r="B921" s="28"/>
    </row>
    <row r="922" spans="2:2" ht="15.75" customHeight="1" x14ac:dyDescent="0.3">
      <c r="B922" s="28"/>
    </row>
    <row r="923" spans="2:2" ht="15.75" customHeight="1" x14ac:dyDescent="0.3">
      <c r="B923" s="28"/>
    </row>
    <row r="924" spans="2:2" ht="15.75" customHeight="1" x14ac:dyDescent="0.3">
      <c r="B924" s="28"/>
    </row>
    <row r="925" spans="2:2" ht="15.75" customHeight="1" x14ac:dyDescent="0.3">
      <c r="B925" s="28"/>
    </row>
    <row r="926" spans="2:2" ht="15.75" customHeight="1" x14ac:dyDescent="0.3">
      <c r="B926" s="28"/>
    </row>
    <row r="927" spans="2:2" ht="15.75" customHeight="1" x14ac:dyDescent="0.3">
      <c r="B927" s="28"/>
    </row>
    <row r="928" spans="2:2" ht="15.75" customHeight="1" x14ac:dyDescent="0.3">
      <c r="B928" s="28"/>
    </row>
    <row r="929" spans="2:2" ht="15.75" customHeight="1" x14ac:dyDescent="0.3">
      <c r="B929" s="28"/>
    </row>
    <row r="930" spans="2:2" ht="15.75" customHeight="1" x14ac:dyDescent="0.3">
      <c r="B930" s="28"/>
    </row>
    <row r="931" spans="2:2" ht="15.75" customHeight="1" x14ac:dyDescent="0.3">
      <c r="B931" s="28"/>
    </row>
    <row r="932" spans="2:2" ht="15.75" customHeight="1" x14ac:dyDescent="0.3">
      <c r="B932" s="28"/>
    </row>
    <row r="933" spans="2:2" ht="15.75" customHeight="1" x14ac:dyDescent="0.3">
      <c r="B933" s="28"/>
    </row>
    <row r="934" spans="2:2" ht="15.75" customHeight="1" x14ac:dyDescent="0.3">
      <c r="B934" s="28"/>
    </row>
    <row r="935" spans="2:2" ht="15.75" customHeight="1" x14ac:dyDescent="0.3">
      <c r="B935" s="28"/>
    </row>
    <row r="936" spans="2:2" ht="15.75" customHeight="1" x14ac:dyDescent="0.3">
      <c r="B936" s="28"/>
    </row>
    <row r="937" spans="2:2" ht="15.75" customHeight="1" x14ac:dyDescent="0.3">
      <c r="B937" s="28"/>
    </row>
    <row r="938" spans="2:2" ht="15.75" customHeight="1" x14ac:dyDescent="0.3">
      <c r="B938" s="28"/>
    </row>
    <row r="939" spans="2:2" ht="15.75" customHeight="1" x14ac:dyDescent="0.3">
      <c r="B939" s="28"/>
    </row>
    <row r="940" spans="2:2" ht="15.75" customHeight="1" x14ac:dyDescent="0.3">
      <c r="B940" s="28"/>
    </row>
    <row r="941" spans="2:2" ht="15.75" customHeight="1" x14ac:dyDescent="0.3">
      <c r="B941" s="28"/>
    </row>
    <row r="942" spans="2:2" ht="15.75" customHeight="1" x14ac:dyDescent="0.3">
      <c r="B942" s="28"/>
    </row>
    <row r="943" spans="2:2" ht="15.75" customHeight="1" x14ac:dyDescent="0.3">
      <c r="B943" s="28"/>
    </row>
    <row r="944" spans="2:2" ht="15.75" customHeight="1" x14ac:dyDescent="0.3">
      <c r="B944" s="28"/>
    </row>
    <row r="945" spans="2:2" ht="15.75" customHeight="1" x14ac:dyDescent="0.3">
      <c r="B945" s="28"/>
    </row>
    <row r="946" spans="2:2" ht="15.75" customHeight="1" x14ac:dyDescent="0.3">
      <c r="B946" s="28"/>
    </row>
    <row r="947" spans="2:2" ht="15.75" customHeight="1" x14ac:dyDescent="0.3">
      <c r="B947" s="28"/>
    </row>
    <row r="948" spans="2:2" ht="15.75" customHeight="1" x14ac:dyDescent="0.3">
      <c r="B948" s="28"/>
    </row>
    <row r="949" spans="2:2" ht="15.75" customHeight="1" x14ac:dyDescent="0.3">
      <c r="B949" s="28"/>
    </row>
    <row r="950" spans="2:2" ht="15.75" customHeight="1" x14ac:dyDescent="0.3">
      <c r="B950" s="28"/>
    </row>
    <row r="951" spans="2:2" ht="15.75" customHeight="1" x14ac:dyDescent="0.3">
      <c r="B951" s="28"/>
    </row>
    <row r="952" spans="2:2" ht="15.75" customHeight="1" x14ac:dyDescent="0.3">
      <c r="B952" s="28"/>
    </row>
    <row r="953" spans="2:2" ht="15.75" customHeight="1" x14ac:dyDescent="0.3">
      <c r="B953" s="28"/>
    </row>
    <row r="954" spans="2:2" ht="15.75" customHeight="1" x14ac:dyDescent="0.3">
      <c r="B954" s="28"/>
    </row>
    <row r="955" spans="2:2" ht="15.75" customHeight="1" x14ac:dyDescent="0.3">
      <c r="B955" s="28"/>
    </row>
    <row r="956" spans="2:2" ht="15.75" customHeight="1" x14ac:dyDescent="0.3">
      <c r="B956" s="28"/>
    </row>
    <row r="957" spans="2:2" ht="15.75" customHeight="1" x14ac:dyDescent="0.3">
      <c r="B957" s="28"/>
    </row>
    <row r="958" spans="2:2" ht="15.75" customHeight="1" x14ac:dyDescent="0.3">
      <c r="B958" s="28"/>
    </row>
    <row r="959" spans="2:2" ht="15.75" customHeight="1" x14ac:dyDescent="0.3">
      <c r="B959" s="28"/>
    </row>
    <row r="960" spans="2:2" ht="15.75" customHeight="1" x14ac:dyDescent="0.3">
      <c r="B960" s="28"/>
    </row>
    <row r="961" spans="2:2" ht="15.75" customHeight="1" x14ac:dyDescent="0.3">
      <c r="B961" s="28"/>
    </row>
    <row r="962" spans="2:2" ht="15.75" customHeight="1" x14ac:dyDescent="0.3">
      <c r="B962" s="28"/>
    </row>
    <row r="963" spans="2:2" ht="15.75" customHeight="1" x14ac:dyDescent="0.3">
      <c r="B963" s="28"/>
    </row>
    <row r="964" spans="2:2" ht="15.75" customHeight="1" x14ac:dyDescent="0.3">
      <c r="B964" s="28"/>
    </row>
    <row r="965" spans="2:2" ht="15.75" customHeight="1" x14ac:dyDescent="0.3">
      <c r="B965" s="28"/>
    </row>
    <row r="966" spans="2:2" ht="15.75" customHeight="1" x14ac:dyDescent="0.3">
      <c r="B966" s="28"/>
    </row>
    <row r="967" spans="2:2" ht="15.75" customHeight="1" x14ac:dyDescent="0.3">
      <c r="B967" s="28"/>
    </row>
    <row r="968" spans="2:2" ht="15.75" customHeight="1" x14ac:dyDescent="0.3">
      <c r="B968" s="28"/>
    </row>
    <row r="969" spans="2:2" ht="15.75" customHeight="1" x14ac:dyDescent="0.3">
      <c r="B969" s="28"/>
    </row>
    <row r="970" spans="2:2" ht="15.75" customHeight="1" x14ac:dyDescent="0.3">
      <c r="B970" s="28"/>
    </row>
    <row r="971" spans="2:2" ht="15.75" customHeight="1" x14ac:dyDescent="0.3">
      <c r="B971" s="28"/>
    </row>
    <row r="972" spans="2:2" ht="15.75" customHeight="1" x14ac:dyDescent="0.3">
      <c r="B972" s="28"/>
    </row>
    <row r="973" spans="2:2" ht="15.75" customHeight="1" x14ac:dyDescent="0.3">
      <c r="B973" s="28"/>
    </row>
    <row r="974" spans="2:2" ht="15.75" customHeight="1" x14ac:dyDescent="0.3">
      <c r="B974" s="28"/>
    </row>
    <row r="975" spans="2:2" ht="15.75" customHeight="1" x14ac:dyDescent="0.3">
      <c r="B975" s="28"/>
    </row>
    <row r="976" spans="2:2" ht="15.75" customHeight="1" x14ac:dyDescent="0.3">
      <c r="B976" s="28"/>
    </row>
    <row r="977" spans="2:2" ht="15.75" customHeight="1" x14ac:dyDescent="0.3">
      <c r="B977" s="28"/>
    </row>
    <row r="978" spans="2:2" ht="15.75" customHeight="1" x14ac:dyDescent="0.3">
      <c r="B978" s="28"/>
    </row>
    <row r="979" spans="2:2" ht="15.75" customHeight="1" x14ac:dyDescent="0.3">
      <c r="B979" s="28"/>
    </row>
    <row r="980" spans="2:2" ht="15.75" customHeight="1" x14ac:dyDescent="0.3">
      <c r="B980" s="28"/>
    </row>
    <row r="981" spans="2:2" ht="15.75" customHeight="1" x14ac:dyDescent="0.3">
      <c r="B981" s="28"/>
    </row>
    <row r="982" spans="2:2" ht="15.75" customHeight="1" x14ac:dyDescent="0.3">
      <c r="B982" s="28"/>
    </row>
    <row r="983" spans="2:2" ht="15.75" customHeight="1" x14ac:dyDescent="0.3">
      <c r="B983" s="28"/>
    </row>
    <row r="984" spans="2:2" ht="15.75" customHeight="1" x14ac:dyDescent="0.3">
      <c r="B984" s="28"/>
    </row>
    <row r="985" spans="2:2" ht="15.75" customHeight="1" x14ac:dyDescent="0.3">
      <c r="B985" s="28"/>
    </row>
    <row r="986" spans="2:2" ht="15.75" customHeight="1" x14ac:dyDescent="0.3">
      <c r="B986" s="28"/>
    </row>
    <row r="987" spans="2:2" ht="15.75" customHeight="1" x14ac:dyDescent="0.3">
      <c r="B987" s="28"/>
    </row>
    <row r="988" spans="2:2" ht="15.75" customHeight="1" x14ac:dyDescent="0.3">
      <c r="B988" s="28"/>
    </row>
    <row r="989" spans="2:2" ht="15.75" customHeight="1" x14ac:dyDescent="0.3">
      <c r="B989" s="28"/>
    </row>
    <row r="990" spans="2:2" ht="15.75" customHeight="1" x14ac:dyDescent="0.3">
      <c r="B990" s="28"/>
    </row>
    <row r="991" spans="2:2" ht="15.75" customHeight="1" x14ac:dyDescent="0.3">
      <c r="B991" s="28"/>
    </row>
    <row r="992" spans="2:2" ht="15.75" customHeight="1" x14ac:dyDescent="0.3">
      <c r="B992" s="28"/>
    </row>
    <row r="993" spans="2:2" ht="15.75" customHeight="1" x14ac:dyDescent="0.3">
      <c r="B993" s="28"/>
    </row>
    <row r="994" spans="2:2" ht="15.75" customHeight="1" x14ac:dyDescent="0.3">
      <c r="B994" s="28"/>
    </row>
    <row r="995" spans="2:2" ht="15.75" customHeight="1" x14ac:dyDescent="0.3">
      <c r="B995" s="28"/>
    </row>
    <row r="996" spans="2:2" ht="15.75" customHeight="1" x14ac:dyDescent="0.3">
      <c r="B996" s="28"/>
    </row>
    <row r="997" spans="2:2" ht="15.75" customHeight="1" x14ac:dyDescent="0.3">
      <c r="B997" s="28"/>
    </row>
    <row r="998" spans="2:2" ht="15.75" customHeight="1" x14ac:dyDescent="0.3">
      <c r="B998" s="28"/>
    </row>
    <row r="999" spans="2:2" ht="15.75" customHeight="1" x14ac:dyDescent="0.3">
      <c r="B999" s="28"/>
    </row>
    <row r="1000" spans="2:2" ht="15.75" customHeight="1" x14ac:dyDescent="0.3">
      <c r="B1000" s="28"/>
    </row>
  </sheetData>
  <mergeCells count="39">
    <mergeCell ref="B22:K22"/>
    <mergeCell ref="H23:I23"/>
    <mergeCell ref="J23:K23"/>
    <mergeCell ref="K24:K25"/>
    <mergeCell ref="B26:K26"/>
    <mergeCell ref="J24:J25"/>
    <mergeCell ref="J28:J30"/>
    <mergeCell ref="K28:K30"/>
    <mergeCell ref="J36:J37"/>
    <mergeCell ref="K36:K37"/>
    <mergeCell ref="B31:K31"/>
    <mergeCell ref="H32:I32"/>
    <mergeCell ref="J32:K32"/>
    <mergeCell ref="B34:K34"/>
    <mergeCell ref="H35:I35"/>
    <mergeCell ref="J35:K35"/>
    <mergeCell ref="H27:I27"/>
    <mergeCell ref="J27:K27"/>
    <mergeCell ref="B17:K17"/>
    <mergeCell ref="H18:I18"/>
    <mergeCell ref="J18:K18"/>
    <mergeCell ref="J19:J21"/>
    <mergeCell ref="K19:K21"/>
    <mergeCell ref="B11:K11"/>
    <mergeCell ref="H12:I12"/>
    <mergeCell ref="J12:K12"/>
    <mergeCell ref="J13:J16"/>
    <mergeCell ref="K13:K16"/>
    <mergeCell ref="B6:K6"/>
    <mergeCell ref="H7:I7"/>
    <mergeCell ref="J7:K7"/>
    <mergeCell ref="J8:J10"/>
    <mergeCell ref="K8:K10"/>
    <mergeCell ref="A1:K1"/>
    <mergeCell ref="B2:K2"/>
    <mergeCell ref="H3:I3"/>
    <mergeCell ref="J3:K3"/>
    <mergeCell ref="J4:J5"/>
    <mergeCell ref="K4:K5"/>
  </mergeCells>
  <dataValidations count="1">
    <dataValidation type="decimal" allowBlank="1" showErrorMessage="1" sqref="G4:G5 G8:G10 G13:G16 G19:G21 G24:G25 G28:G30 G33 G36:G37" xr:uid="{00000000-0002-0000-0200-000000000000}">
      <formula1>0</formula1>
      <formula2>100</formula2>
    </dataValidation>
  </dataValidation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sqref="A1:K1"/>
    </sheetView>
  </sheetViews>
  <sheetFormatPr baseColWidth="10" defaultColWidth="14.44140625" defaultRowHeight="15" customHeight="1" x14ac:dyDescent="0.3"/>
  <cols>
    <col min="1" max="1" width="18.6640625" customWidth="1"/>
    <col min="2" max="2" width="106.6640625" customWidth="1"/>
    <col min="3" max="4" width="28.44140625" customWidth="1"/>
    <col min="5" max="5" width="35" customWidth="1"/>
    <col min="6" max="6" width="50" customWidth="1"/>
    <col min="7" max="7" width="38.6640625" customWidth="1"/>
    <col min="8" max="8" width="33.6640625" customWidth="1"/>
    <col min="9" max="10" width="32.109375" customWidth="1"/>
    <col min="11" max="11" width="34.6640625" customWidth="1"/>
    <col min="12" max="26" width="11.44140625" customWidth="1"/>
  </cols>
  <sheetData>
    <row r="1" spans="1:26" ht="13.5" customHeight="1" x14ac:dyDescent="0.3">
      <c r="A1" s="172" t="s">
        <v>193</v>
      </c>
      <c r="B1" s="152"/>
      <c r="C1" s="152"/>
      <c r="D1" s="152"/>
      <c r="E1" s="152"/>
      <c r="F1" s="152"/>
      <c r="G1" s="152"/>
      <c r="H1" s="152"/>
      <c r="I1" s="152"/>
      <c r="J1" s="152"/>
      <c r="K1" s="153"/>
      <c r="L1" s="1"/>
      <c r="M1" s="1"/>
      <c r="N1" s="1"/>
      <c r="O1" s="1"/>
      <c r="P1" s="1"/>
      <c r="Q1" s="1"/>
      <c r="R1" s="1"/>
      <c r="S1" s="1"/>
      <c r="T1" s="1"/>
      <c r="U1" s="1"/>
      <c r="V1" s="1"/>
      <c r="W1" s="1"/>
      <c r="X1" s="1"/>
      <c r="Y1" s="1"/>
      <c r="Z1" s="1"/>
    </row>
    <row r="2" spans="1:26" ht="13.5" customHeight="1" x14ac:dyDescent="0.3">
      <c r="A2" s="78" t="s">
        <v>194</v>
      </c>
      <c r="B2" s="173" t="s">
        <v>195</v>
      </c>
      <c r="C2" s="152"/>
      <c r="D2" s="152"/>
      <c r="E2" s="152"/>
      <c r="F2" s="152"/>
      <c r="G2" s="152"/>
      <c r="H2" s="152"/>
      <c r="I2" s="152"/>
      <c r="J2" s="152"/>
      <c r="K2" s="153"/>
      <c r="L2" s="1"/>
      <c r="M2" s="1"/>
      <c r="N2" s="1"/>
      <c r="O2" s="1"/>
      <c r="P2" s="1"/>
      <c r="Q2" s="1"/>
      <c r="R2" s="1"/>
      <c r="S2" s="1"/>
      <c r="T2" s="1"/>
      <c r="U2" s="1"/>
      <c r="V2" s="1"/>
      <c r="W2" s="1"/>
      <c r="X2" s="1"/>
      <c r="Y2" s="1"/>
      <c r="Z2" s="1"/>
    </row>
    <row r="3" spans="1:26" ht="13.5" customHeight="1" x14ac:dyDescent="0.3">
      <c r="A3" s="79" t="s">
        <v>3</v>
      </c>
      <c r="B3" s="80" t="s">
        <v>4</v>
      </c>
      <c r="C3" s="79" t="s">
        <v>5</v>
      </c>
      <c r="D3" s="80" t="s">
        <v>6</v>
      </c>
      <c r="E3" s="80" t="s">
        <v>7</v>
      </c>
      <c r="F3" s="80" t="s">
        <v>8</v>
      </c>
      <c r="G3" s="43" t="s">
        <v>9</v>
      </c>
      <c r="H3" s="170" t="s">
        <v>10</v>
      </c>
      <c r="I3" s="153"/>
      <c r="J3" s="171" t="s">
        <v>11</v>
      </c>
      <c r="K3" s="153"/>
      <c r="L3" s="1"/>
      <c r="M3" s="1"/>
      <c r="N3" s="1"/>
      <c r="O3" s="1"/>
      <c r="P3" s="1"/>
      <c r="Q3" s="1"/>
      <c r="R3" s="1"/>
      <c r="S3" s="1"/>
      <c r="T3" s="1"/>
      <c r="U3" s="1"/>
      <c r="V3" s="1"/>
      <c r="W3" s="1"/>
      <c r="X3" s="1"/>
      <c r="Y3" s="1"/>
      <c r="Z3" s="1"/>
    </row>
    <row r="4" spans="1:26" ht="179.4" x14ac:dyDescent="0.3">
      <c r="A4" s="7" t="s">
        <v>196</v>
      </c>
      <c r="B4" s="81"/>
      <c r="C4" s="82" t="s">
        <v>87</v>
      </c>
      <c r="D4" s="83" t="s">
        <v>197</v>
      </c>
      <c r="E4" s="18" t="s">
        <v>198</v>
      </c>
      <c r="F4" s="11" t="s">
        <v>199</v>
      </c>
      <c r="G4" s="12">
        <v>95</v>
      </c>
      <c r="H4" s="12" t="str">
        <f t="shared" ref="H4:H5" si="0">IF(G4&lt;=30,"No se cumple",IF(G4&lt;=59,"Se cumple insatisfactoriamente",IF(G4&lt;=79,"Se cumple aceptablemente",IF(G4&lt;=89,"Se cumple en alto grado",IF(G4&gt;=90,"Se cumple plenamente","EROR")))))</f>
        <v>Se cumple plenamente</v>
      </c>
      <c r="I4" s="84" t="str">
        <f t="shared" ref="I4:I5" si="1">IF(G4&lt;=59,"Debilidad",IF(G4&lt;=79,"Oportunidad",IF(G4&gt;=80,"Fortaleza","EROR")))</f>
        <v>Fortaleza</v>
      </c>
      <c r="J4" s="146">
        <f>(G4+G5)/2</f>
        <v>97.5</v>
      </c>
      <c r="K4" s="146" t="str">
        <f>IF(J4&lt;=30,"No se cumple",IF(J4&lt;=59,"Se cumple insatisfactoriamente",IF(J4&lt;=79,"Se cumple aceptablemente",IF(J4&lt;=89,"Se cumple en alto grado",IF(J4&gt;=90,"Se cumple plenamente","EROR")))))</f>
        <v>Se cumple plenamente</v>
      </c>
      <c r="L4" s="1"/>
      <c r="M4" s="1"/>
      <c r="N4" s="1"/>
      <c r="O4" s="1"/>
      <c r="P4" s="1"/>
      <c r="Q4" s="1"/>
      <c r="R4" s="1"/>
      <c r="S4" s="1"/>
      <c r="T4" s="1"/>
      <c r="U4" s="1"/>
      <c r="V4" s="1"/>
      <c r="W4" s="1"/>
      <c r="X4" s="1"/>
      <c r="Y4" s="1"/>
      <c r="Z4" s="1"/>
    </row>
    <row r="5" spans="1:26" ht="409.6" x14ac:dyDescent="0.3">
      <c r="A5" s="29" t="s">
        <v>200</v>
      </c>
      <c r="B5" s="85" t="s">
        <v>201</v>
      </c>
      <c r="C5" s="31" t="s">
        <v>40</v>
      </c>
      <c r="D5" s="31" t="s">
        <v>41</v>
      </c>
      <c r="E5" s="32" t="s">
        <v>42</v>
      </c>
      <c r="F5" s="37" t="s">
        <v>202</v>
      </c>
      <c r="G5" s="38">
        <v>100</v>
      </c>
      <c r="H5" s="38" t="str">
        <f t="shared" si="0"/>
        <v>Se cumple plenamente</v>
      </c>
      <c r="I5" s="86" t="str">
        <f t="shared" si="1"/>
        <v>Fortaleza</v>
      </c>
      <c r="J5" s="147"/>
      <c r="K5" s="148"/>
      <c r="L5" s="87"/>
      <c r="M5" s="87"/>
      <c r="N5" s="87"/>
      <c r="O5" s="87"/>
      <c r="P5" s="87"/>
      <c r="Q5" s="87"/>
      <c r="R5" s="87"/>
      <c r="S5" s="87"/>
      <c r="T5" s="87"/>
      <c r="U5" s="87"/>
      <c r="V5" s="87"/>
      <c r="W5" s="87"/>
      <c r="X5" s="87"/>
      <c r="Y5" s="87"/>
      <c r="Z5" s="87"/>
    </row>
    <row r="6" spans="1:26" ht="13.5" customHeight="1" x14ac:dyDescent="0.3">
      <c r="A6" s="2" t="s">
        <v>203</v>
      </c>
      <c r="B6" s="173" t="s">
        <v>204</v>
      </c>
      <c r="C6" s="152"/>
      <c r="D6" s="152"/>
      <c r="E6" s="152"/>
      <c r="F6" s="152"/>
      <c r="G6" s="152"/>
      <c r="H6" s="152"/>
      <c r="I6" s="152"/>
      <c r="J6" s="152"/>
      <c r="K6" s="153"/>
      <c r="L6" s="1"/>
      <c r="M6" s="1"/>
      <c r="N6" s="1"/>
      <c r="O6" s="1"/>
      <c r="P6" s="1"/>
      <c r="Q6" s="1"/>
      <c r="R6" s="1"/>
      <c r="S6" s="1"/>
      <c r="T6" s="1"/>
      <c r="U6" s="1"/>
      <c r="V6" s="1"/>
      <c r="W6" s="1"/>
      <c r="X6" s="1"/>
      <c r="Y6" s="1"/>
      <c r="Z6" s="1"/>
    </row>
    <row r="7" spans="1:26" ht="13.5" customHeight="1" x14ac:dyDescent="0.3">
      <c r="A7" s="79" t="s">
        <v>3</v>
      </c>
      <c r="B7" s="80" t="s">
        <v>4</v>
      </c>
      <c r="C7" s="79" t="s">
        <v>5</v>
      </c>
      <c r="D7" s="79"/>
      <c r="E7" s="80" t="s">
        <v>7</v>
      </c>
      <c r="F7" s="80" t="s">
        <v>8</v>
      </c>
      <c r="G7" s="43" t="s">
        <v>9</v>
      </c>
      <c r="H7" s="170" t="s">
        <v>10</v>
      </c>
      <c r="I7" s="153"/>
      <c r="J7" s="171" t="s">
        <v>11</v>
      </c>
      <c r="K7" s="153"/>
      <c r="L7" s="1"/>
      <c r="M7" s="1"/>
      <c r="N7" s="1"/>
      <c r="O7" s="1"/>
      <c r="P7" s="1"/>
      <c r="Q7" s="1"/>
      <c r="R7" s="1"/>
      <c r="S7" s="1"/>
      <c r="T7" s="1"/>
      <c r="U7" s="1"/>
      <c r="V7" s="1"/>
      <c r="W7" s="1"/>
      <c r="X7" s="1"/>
      <c r="Y7" s="1"/>
      <c r="Z7" s="1"/>
    </row>
    <row r="8" spans="1:26" ht="409.6" x14ac:dyDescent="0.3">
      <c r="A8" s="7" t="s">
        <v>205</v>
      </c>
      <c r="B8" s="16" t="s">
        <v>206</v>
      </c>
      <c r="C8" s="17" t="s">
        <v>14</v>
      </c>
      <c r="D8" s="17" t="s">
        <v>197</v>
      </c>
      <c r="E8" s="18" t="s">
        <v>198</v>
      </c>
      <c r="F8" s="11" t="s">
        <v>207</v>
      </c>
      <c r="G8" s="12">
        <v>90</v>
      </c>
      <c r="H8" s="12" t="str">
        <f t="shared" ref="H8:H9" si="2">IF(G8&lt;=30,"No se cumple",IF(G8&lt;=59,"Se cumple insatisfactoriamente",IF(G8&lt;=79,"Se cumple aceptablemente",IF(G8&lt;=89,"Se cumple en alto grado",IF(G8&gt;=90,"Se cumple plenamente","EROR")))))</f>
        <v>Se cumple plenamente</v>
      </c>
      <c r="I8" s="12" t="str">
        <f t="shared" ref="I8:I9" si="3">IF(G8&lt;=59,"Debilidad",IF(G8&lt;=79,"Oportunidad",IF(G8&gt;=80,"Fortaleza","EROR")))</f>
        <v>Fortaleza</v>
      </c>
      <c r="J8" s="146">
        <f>(G8+G9)/2</f>
        <v>92.5</v>
      </c>
      <c r="K8" s="146" t="str">
        <f>IF(J8&lt;=30,"No se cumple",IF(J8&lt;=59,"Se cumple insatisfactoriamente",IF(J8&lt;=79,"Se cumple aceptablemente",IF(J8&lt;=89,"Se cumple en alto grado",IF(J8&gt;=90,"Se cumple plenamente","EROR")))))</f>
        <v>Se cumple plenamente</v>
      </c>
      <c r="L8" s="1"/>
      <c r="M8" s="1"/>
      <c r="N8" s="1"/>
      <c r="O8" s="1"/>
      <c r="P8" s="1"/>
      <c r="Q8" s="1"/>
      <c r="R8" s="1"/>
      <c r="S8" s="1"/>
      <c r="T8" s="1"/>
      <c r="U8" s="1"/>
      <c r="V8" s="1"/>
      <c r="W8" s="1"/>
      <c r="X8" s="1"/>
      <c r="Y8" s="1"/>
      <c r="Z8" s="1"/>
    </row>
    <row r="9" spans="1:26" ht="309" customHeight="1" x14ac:dyDescent="0.3">
      <c r="A9" s="29" t="s">
        <v>208</v>
      </c>
      <c r="B9" s="85" t="s">
        <v>209</v>
      </c>
      <c r="C9" s="32" t="s">
        <v>40</v>
      </c>
      <c r="D9" s="31" t="s">
        <v>41</v>
      </c>
      <c r="E9" s="32" t="s">
        <v>42</v>
      </c>
      <c r="F9" s="37" t="s">
        <v>210</v>
      </c>
      <c r="G9" s="38">
        <v>95</v>
      </c>
      <c r="H9" s="38" t="str">
        <f t="shared" si="2"/>
        <v>Se cumple plenamente</v>
      </c>
      <c r="I9" s="38" t="str">
        <f t="shared" si="3"/>
        <v>Fortaleza</v>
      </c>
      <c r="J9" s="147"/>
      <c r="K9" s="148"/>
      <c r="L9" s="87"/>
      <c r="M9" s="87"/>
      <c r="N9" s="87"/>
      <c r="O9" s="87"/>
      <c r="P9" s="87"/>
      <c r="Q9" s="87"/>
      <c r="R9" s="87"/>
      <c r="S9" s="87"/>
      <c r="T9" s="87"/>
      <c r="U9" s="87"/>
      <c r="V9" s="87"/>
      <c r="W9" s="87"/>
      <c r="X9" s="87"/>
      <c r="Y9" s="87"/>
      <c r="Z9" s="87"/>
    </row>
    <row r="10" spans="1:26" ht="13.5" customHeight="1" x14ac:dyDescent="0.3">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3.5" customHeight="1" x14ac:dyDescent="0.3">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3.5" customHeight="1" x14ac:dyDescent="0.3">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3.5" customHeight="1"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3.5" customHeight="1"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3.5" customHeight="1"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3.5" customHeight="1"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3.5" customHeight="1"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3.5" customHeight="1"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3.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3.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3.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3.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3.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1">
    <mergeCell ref="H7:I7"/>
    <mergeCell ref="J7:K7"/>
    <mergeCell ref="J8:J9"/>
    <mergeCell ref="K8:K9"/>
    <mergeCell ref="A1:K1"/>
    <mergeCell ref="B2:K2"/>
    <mergeCell ref="H3:I3"/>
    <mergeCell ref="J3:K3"/>
    <mergeCell ref="J4:J5"/>
    <mergeCell ref="K4:K5"/>
    <mergeCell ref="B6:K6"/>
  </mergeCells>
  <dataValidations count="1">
    <dataValidation type="decimal" allowBlank="1" showErrorMessage="1" sqref="G4:G5 G8:G9" xr:uid="{00000000-0002-0000-0300-000000000000}">
      <formula1>0</formula1>
      <formula2>100</formula2>
    </dataValidation>
  </dataValidation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0"/>
  <sheetViews>
    <sheetView workbookViewId="0"/>
  </sheetViews>
  <sheetFormatPr baseColWidth="10" defaultColWidth="14.44140625" defaultRowHeight="15" customHeight="1" x14ac:dyDescent="0.3"/>
  <cols>
    <col min="1" max="1" width="18.6640625" customWidth="1"/>
    <col min="2" max="2" width="106.6640625" customWidth="1"/>
    <col min="3" max="4" width="28.44140625" customWidth="1"/>
    <col min="5" max="5" width="34" customWidth="1"/>
    <col min="6" max="6" width="55" customWidth="1"/>
    <col min="7" max="7" width="40.33203125" customWidth="1"/>
    <col min="8" max="8" width="35.109375" customWidth="1"/>
    <col min="9" max="10" width="32.44140625" customWidth="1"/>
    <col min="11" max="11" width="35.44140625" customWidth="1"/>
    <col min="12" max="26" width="11.44140625" customWidth="1"/>
    <col min="27" max="31" width="14.44140625" customWidth="1"/>
  </cols>
  <sheetData>
    <row r="1" spans="1:31" ht="13.5" customHeight="1" x14ac:dyDescent="0.3">
      <c r="A1" s="172" t="s">
        <v>211</v>
      </c>
      <c r="B1" s="152"/>
      <c r="C1" s="152"/>
      <c r="D1" s="152"/>
      <c r="E1" s="152"/>
      <c r="F1" s="152"/>
      <c r="G1" s="152"/>
      <c r="H1" s="152"/>
      <c r="I1" s="152"/>
      <c r="J1" s="152"/>
      <c r="K1" s="153"/>
      <c r="L1" s="24"/>
      <c r="M1" s="24"/>
      <c r="N1" s="24"/>
      <c r="O1" s="24"/>
      <c r="P1" s="24"/>
      <c r="Q1" s="24"/>
      <c r="R1" s="24"/>
      <c r="S1" s="24"/>
      <c r="T1" s="24"/>
      <c r="U1" s="24"/>
      <c r="V1" s="24"/>
      <c r="W1" s="24"/>
      <c r="X1" s="24"/>
      <c r="Y1" s="24"/>
      <c r="Z1" s="24"/>
      <c r="AA1" s="88"/>
      <c r="AB1" s="88"/>
      <c r="AC1" s="88"/>
      <c r="AD1" s="88"/>
      <c r="AE1" s="88"/>
    </row>
    <row r="2" spans="1:31" ht="13.5" customHeight="1" x14ac:dyDescent="0.3">
      <c r="A2" s="78" t="s">
        <v>212</v>
      </c>
      <c r="B2" s="173" t="s">
        <v>213</v>
      </c>
      <c r="C2" s="152"/>
      <c r="D2" s="152"/>
      <c r="E2" s="152"/>
      <c r="F2" s="152"/>
      <c r="G2" s="152"/>
      <c r="H2" s="152"/>
      <c r="I2" s="152"/>
      <c r="J2" s="152"/>
      <c r="K2" s="153"/>
      <c r="L2" s="24"/>
      <c r="M2" s="24"/>
      <c r="N2" s="24"/>
      <c r="O2" s="24"/>
      <c r="P2" s="24"/>
      <c r="Q2" s="24"/>
      <c r="R2" s="24"/>
      <c r="S2" s="24"/>
      <c r="T2" s="24"/>
      <c r="U2" s="24"/>
      <c r="V2" s="24"/>
      <c r="W2" s="24"/>
      <c r="X2" s="24"/>
      <c r="Y2" s="24"/>
      <c r="Z2" s="24"/>
      <c r="AA2" s="88"/>
      <c r="AB2" s="88"/>
      <c r="AC2" s="88"/>
      <c r="AD2" s="88"/>
      <c r="AE2" s="88"/>
    </row>
    <row r="3" spans="1:31" ht="13.5" customHeight="1" x14ac:dyDescent="0.3">
      <c r="A3" s="79" t="s">
        <v>3</v>
      </c>
      <c r="B3" s="80" t="s">
        <v>4</v>
      </c>
      <c r="C3" s="79" t="s">
        <v>5</v>
      </c>
      <c r="D3" s="80" t="s">
        <v>6</v>
      </c>
      <c r="E3" s="80" t="s">
        <v>7</v>
      </c>
      <c r="F3" s="80" t="s">
        <v>8</v>
      </c>
      <c r="G3" s="43" t="s">
        <v>9</v>
      </c>
      <c r="H3" s="171" t="s">
        <v>10</v>
      </c>
      <c r="I3" s="153"/>
      <c r="J3" s="171" t="s">
        <v>11</v>
      </c>
      <c r="K3" s="153"/>
      <c r="L3" s="24"/>
      <c r="M3" s="24"/>
      <c r="N3" s="24"/>
      <c r="O3" s="24"/>
      <c r="P3" s="24"/>
      <c r="Q3" s="24"/>
      <c r="R3" s="24"/>
      <c r="S3" s="24"/>
      <c r="T3" s="24"/>
      <c r="U3" s="24"/>
      <c r="V3" s="24"/>
      <c r="W3" s="24"/>
      <c r="X3" s="24"/>
      <c r="Y3" s="24"/>
      <c r="Z3" s="24"/>
      <c r="AA3" s="88"/>
      <c r="AB3" s="88"/>
      <c r="AC3" s="88"/>
      <c r="AD3" s="88"/>
      <c r="AE3" s="88"/>
    </row>
    <row r="4" spans="1:31" ht="386.4" x14ac:dyDescent="0.3">
      <c r="A4" s="7" t="s">
        <v>214</v>
      </c>
      <c r="B4" s="16" t="s">
        <v>215</v>
      </c>
      <c r="C4" s="9" t="s">
        <v>216</v>
      </c>
      <c r="D4" s="17" t="s">
        <v>217</v>
      </c>
      <c r="E4" s="12" t="s">
        <v>218</v>
      </c>
      <c r="F4" s="11" t="s">
        <v>219</v>
      </c>
      <c r="G4" s="12">
        <v>94</v>
      </c>
      <c r="H4" s="12" t="str">
        <f t="shared" ref="H4:H5" si="0">IF(G4&lt;=30,"No se cumple",IF(G4&lt;=59,"Se cumple insatisfactoriamente",IF(G4&lt;=79,"Se cumple aceptablemente",IF(G4&lt;=89,"Se cumple en alto grado",IF(G4&gt;=90,"Se cumple plenamente","EROR")))))</f>
        <v>Se cumple plenamente</v>
      </c>
      <c r="I4" s="12" t="str">
        <f t="shared" ref="I4:I5" si="1">IF(G4&lt;=59,"Debilidad",IF(G4&lt;=79,"Oportunidad",IF(G4&gt;=80,"Fortaleza","EROR")))</f>
        <v>Fortaleza</v>
      </c>
      <c r="J4" s="146">
        <f>(G4+G5)/2</f>
        <v>94.5</v>
      </c>
      <c r="K4" s="146" t="str">
        <f>IF(J4&lt;=30,"No se cumple",IF(J4&lt;=59,"Se cumple insatisfactoriamente",IF(J4&lt;=79,"Se cumple aceptablemente",IF(J4&lt;=89,"Se cumple en alto grado",IF(J4&gt;=90,"Se cumple plenamente","EROR")))))</f>
        <v>Se cumple plenamente</v>
      </c>
      <c r="L4" s="24"/>
      <c r="M4" s="24"/>
      <c r="N4" s="24"/>
      <c r="O4" s="24"/>
      <c r="P4" s="24"/>
      <c r="Q4" s="24"/>
      <c r="R4" s="24"/>
      <c r="S4" s="24"/>
      <c r="T4" s="24"/>
      <c r="U4" s="24"/>
      <c r="V4" s="24"/>
      <c r="W4" s="24"/>
      <c r="X4" s="24"/>
      <c r="Y4" s="24"/>
      <c r="Z4" s="24"/>
      <c r="AA4" s="88"/>
      <c r="AB4" s="88"/>
      <c r="AC4" s="88"/>
      <c r="AD4" s="88"/>
      <c r="AE4" s="88"/>
    </row>
    <row r="5" spans="1:31" ht="57" customHeight="1" x14ac:dyDescent="0.3">
      <c r="A5" s="7" t="s">
        <v>220</v>
      </c>
      <c r="B5" s="16" t="s">
        <v>221</v>
      </c>
      <c r="C5" s="9" t="s">
        <v>32</v>
      </c>
      <c r="D5" s="17" t="s">
        <v>217</v>
      </c>
      <c r="E5" s="11" t="s">
        <v>222</v>
      </c>
      <c r="F5" s="11" t="s">
        <v>223</v>
      </c>
      <c r="G5" s="12">
        <v>95</v>
      </c>
      <c r="H5" s="12" t="str">
        <f t="shared" si="0"/>
        <v>Se cumple plenamente</v>
      </c>
      <c r="I5" s="12" t="str">
        <f t="shared" si="1"/>
        <v>Fortaleza</v>
      </c>
      <c r="J5" s="147"/>
      <c r="K5" s="148"/>
      <c r="L5" s="24"/>
      <c r="M5" s="24"/>
      <c r="N5" s="24"/>
      <c r="O5" s="24"/>
      <c r="P5" s="24"/>
      <c r="Q5" s="24"/>
      <c r="R5" s="24"/>
      <c r="S5" s="24"/>
      <c r="T5" s="24"/>
      <c r="U5" s="24"/>
      <c r="V5" s="24"/>
      <c r="W5" s="24"/>
      <c r="X5" s="24"/>
      <c r="Y5" s="24"/>
      <c r="Z5" s="24"/>
      <c r="AA5" s="88"/>
      <c r="AB5" s="88"/>
      <c r="AC5" s="88"/>
      <c r="AD5" s="88"/>
      <c r="AE5" s="88"/>
    </row>
    <row r="6" spans="1:31" ht="13.5" customHeight="1" x14ac:dyDescent="0.3">
      <c r="A6" s="26" t="s">
        <v>224</v>
      </c>
      <c r="B6" s="173" t="s">
        <v>225</v>
      </c>
      <c r="C6" s="152"/>
      <c r="D6" s="152"/>
      <c r="E6" s="152"/>
      <c r="F6" s="152"/>
      <c r="G6" s="152"/>
      <c r="H6" s="152"/>
      <c r="I6" s="152"/>
      <c r="J6" s="152"/>
      <c r="K6" s="153"/>
      <c r="L6" s="89"/>
      <c r="M6" s="89"/>
      <c r="N6" s="89"/>
      <c r="O6" s="89"/>
      <c r="P6" s="89"/>
      <c r="Q6" s="89"/>
      <c r="R6" s="89"/>
      <c r="S6" s="89"/>
      <c r="T6" s="89"/>
      <c r="U6" s="89"/>
      <c r="V6" s="89"/>
      <c r="W6" s="89"/>
      <c r="X6" s="89"/>
      <c r="Y6" s="89"/>
      <c r="Z6" s="89"/>
      <c r="AA6" s="90"/>
      <c r="AB6" s="90"/>
      <c r="AC6" s="90"/>
      <c r="AD6" s="90"/>
      <c r="AE6" s="90"/>
    </row>
    <row r="7" spans="1:31" ht="13.5" customHeight="1" x14ac:dyDescent="0.3">
      <c r="A7" s="79" t="s">
        <v>3</v>
      </c>
      <c r="B7" s="80" t="s">
        <v>4</v>
      </c>
      <c r="C7" s="79" t="s">
        <v>5</v>
      </c>
      <c r="D7" s="80" t="s">
        <v>6</v>
      </c>
      <c r="E7" s="80" t="s">
        <v>7</v>
      </c>
      <c r="F7" s="80" t="s">
        <v>8</v>
      </c>
      <c r="G7" s="43" t="s">
        <v>9</v>
      </c>
      <c r="H7" s="171" t="s">
        <v>10</v>
      </c>
      <c r="I7" s="153"/>
      <c r="J7" s="171" t="s">
        <v>11</v>
      </c>
      <c r="K7" s="153"/>
      <c r="L7" s="24"/>
      <c r="M7" s="24"/>
      <c r="N7" s="24"/>
      <c r="O7" s="24"/>
      <c r="P7" s="24"/>
      <c r="Q7" s="24"/>
      <c r="R7" s="24"/>
      <c r="S7" s="24"/>
      <c r="T7" s="24"/>
      <c r="U7" s="24"/>
      <c r="V7" s="24"/>
      <c r="W7" s="24"/>
      <c r="X7" s="24"/>
      <c r="Y7" s="24"/>
      <c r="Z7" s="24"/>
      <c r="AA7" s="88"/>
      <c r="AB7" s="88"/>
      <c r="AC7" s="88"/>
      <c r="AD7" s="88"/>
      <c r="AE7" s="88"/>
    </row>
    <row r="8" spans="1:31" ht="409.6" x14ac:dyDescent="0.3">
      <c r="A8" s="7" t="s">
        <v>226</v>
      </c>
      <c r="B8" s="81" t="s">
        <v>227</v>
      </c>
      <c r="C8" s="17" t="s">
        <v>228</v>
      </c>
      <c r="D8" s="17" t="s">
        <v>229</v>
      </c>
      <c r="E8" s="18" t="s">
        <v>230</v>
      </c>
      <c r="F8" s="11" t="s">
        <v>231</v>
      </c>
      <c r="G8" s="12">
        <v>90</v>
      </c>
      <c r="H8" s="12" t="str">
        <f t="shared" ref="H8:H9" si="2">IF(G8&lt;=30,"No se cumple",IF(G8&lt;=59,"Se cumple insatisfactoriamente",IF(G8&lt;=79,"Se cumple aceptablemente",IF(G8&lt;=89,"Se cumple en alto grado",IF(G8&gt;=90,"Se cumple plenamente","EROR")))))</f>
        <v>Se cumple plenamente</v>
      </c>
      <c r="I8" s="12" t="str">
        <f t="shared" ref="I8:I9" si="3">IF(G8&lt;=59,"Debilidad",IF(G8&lt;=79,"Oportunidad",IF(G8&gt;=80,"Fortaleza","EROR")))</f>
        <v>Fortaleza</v>
      </c>
      <c r="J8" s="146">
        <f>(G8+G9)/2</f>
        <v>90</v>
      </c>
      <c r="K8" s="146" t="str">
        <f>IF(J8&lt;=30,"No se cumple",IF(J8&lt;=59,"Se cumple insatisfactoriamente",IF(J8&lt;=79,"Se cumple aceptablemente",IF(J8&lt;=89,"Se cumple en alto grado",IF(J8&gt;=90,"Se cumple plenamente","EROR")))))</f>
        <v>Se cumple plenamente</v>
      </c>
      <c r="L8" s="24"/>
      <c r="M8" s="24"/>
      <c r="N8" s="24"/>
      <c r="O8" s="24"/>
      <c r="P8" s="24"/>
      <c r="Q8" s="24"/>
      <c r="R8" s="24"/>
      <c r="S8" s="24"/>
      <c r="T8" s="24"/>
      <c r="U8" s="24"/>
      <c r="V8" s="24"/>
      <c r="W8" s="24"/>
      <c r="X8" s="24"/>
      <c r="Y8" s="24"/>
      <c r="Z8" s="24"/>
      <c r="AA8" s="88"/>
      <c r="AB8" s="88"/>
      <c r="AC8" s="88"/>
      <c r="AD8" s="88"/>
      <c r="AE8" s="88"/>
    </row>
    <row r="9" spans="1:31" ht="409.6" x14ac:dyDescent="0.3">
      <c r="A9" s="29" t="s">
        <v>232</v>
      </c>
      <c r="B9" s="91" t="s">
        <v>233</v>
      </c>
      <c r="C9" s="32" t="s">
        <v>40</v>
      </c>
      <c r="D9" s="31" t="s">
        <v>41</v>
      </c>
      <c r="E9" s="32" t="s">
        <v>42</v>
      </c>
      <c r="F9" s="37" t="s">
        <v>234</v>
      </c>
      <c r="G9" s="38">
        <v>90</v>
      </c>
      <c r="H9" s="38" t="str">
        <f t="shared" si="2"/>
        <v>Se cumple plenamente</v>
      </c>
      <c r="I9" s="38" t="str">
        <f t="shared" si="3"/>
        <v>Fortaleza</v>
      </c>
      <c r="J9" s="147"/>
      <c r="K9" s="147"/>
      <c r="L9" s="24"/>
      <c r="M9" s="24"/>
      <c r="N9" s="24"/>
      <c r="O9" s="24"/>
      <c r="P9" s="24"/>
      <c r="Q9" s="24"/>
      <c r="R9" s="24"/>
      <c r="S9" s="24"/>
      <c r="T9" s="24"/>
      <c r="U9" s="24"/>
      <c r="V9" s="24"/>
      <c r="W9" s="24"/>
      <c r="X9" s="24"/>
      <c r="Y9" s="24"/>
      <c r="Z9" s="24"/>
      <c r="AA9" s="88"/>
      <c r="AB9" s="88"/>
      <c r="AC9" s="88"/>
      <c r="AD9" s="88"/>
      <c r="AE9" s="88"/>
    </row>
    <row r="10" spans="1:31" ht="13.5" customHeight="1" x14ac:dyDescent="0.3">
      <c r="A10" s="26" t="s">
        <v>235</v>
      </c>
      <c r="B10" s="173" t="s">
        <v>236</v>
      </c>
      <c r="C10" s="152"/>
      <c r="D10" s="152"/>
      <c r="E10" s="152"/>
      <c r="F10" s="152"/>
      <c r="G10" s="152"/>
      <c r="H10" s="152"/>
      <c r="I10" s="152"/>
      <c r="J10" s="152"/>
      <c r="K10" s="153"/>
      <c r="L10" s="89"/>
      <c r="M10" s="89"/>
      <c r="N10" s="89"/>
      <c r="O10" s="89"/>
      <c r="P10" s="89"/>
      <c r="Q10" s="89"/>
      <c r="R10" s="89"/>
      <c r="S10" s="89"/>
      <c r="T10" s="89"/>
      <c r="U10" s="89"/>
      <c r="V10" s="89"/>
      <c r="W10" s="89"/>
      <c r="X10" s="89"/>
      <c r="Y10" s="89"/>
      <c r="Z10" s="89"/>
      <c r="AA10" s="90"/>
      <c r="AB10" s="90"/>
      <c r="AC10" s="90"/>
      <c r="AD10" s="90"/>
      <c r="AE10" s="90"/>
    </row>
    <row r="11" spans="1:31" ht="13.5" customHeight="1" x14ac:dyDescent="0.3">
      <c r="A11" s="79" t="s">
        <v>3</v>
      </c>
      <c r="B11" s="80" t="s">
        <v>4</v>
      </c>
      <c r="C11" s="79" t="s">
        <v>5</v>
      </c>
      <c r="D11" s="80" t="s">
        <v>6</v>
      </c>
      <c r="E11" s="80" t="s">
        <v>7</v>
      </c>
      <c r="F11" s="80" t="s">
        <v>8</v>
      </c>
      <c r="G11" s="43" t="s">
        <v>9</v>
      </c>
      <c r="H11" s="171" t="s">
        <v>10</v>
      </c>
      <c r="I11" s="153"/>
      <c r="J11" s="171" t="s">
        <v>11</v>
      </c>
      <c r="K11" s="153"/>
      <c r="L11" s="24"/>
      <c r="M11" s="24"/>
      <c r="N11" s="24"/>
      <c r="O11" s="24"/>
      <c r="P11" s="24"/>
      <c r="Q11" s="24"/>
      <c r="R11" s="24"/>
      <c r="S11" s="24"/>
      <c r="T11" s="24"/>
      <c r="U11" s="24"/>
      <c r="V11" s="24"/>
      <c r="W11" s="24"/>
      <c r="X11" s="24"/>
      <c r="Y11" s="24"/>
      <c r="Z11" s="24"/>
      <c r="AA11" s="88"/>
      <c r="AB11" s="88"/>
      <c r="AC11" s="88"/>
      <c r="AD11" s="88"/>
      <c r="AE11" s="88"/>
    </row>
    <row r="12" spans="1:31" ht="409.6" x14ac:dyDescent="0.3">
      <c r="A12" s="7" t="s">
        <v>237</v>
      </c>
      <c r="B12" s="81" t="s">
        <v>238</v>
      </c>
      <c r="C12" s="9" t="s">
        <v>32</v>
      </c>
      <c r="D12" s="17" t="s">
        <v>217</v>
      </c>
      <c r="E12" s="10" t="s">
        <v>239</v>
      </c>
      <c r="F12" s="11" t="s">
        <v>240</v>
      </c>
      <c r="G12" s="12">
        <v>90</v>
      </c>
      <c r="H12" s="12" t="str">
        <f t="shared" ref="H12:H13" si="4">IF(G12&lt;=30,"No se cumple",IF(G12&lt;=59,"Se cumple insatisfactoriamente",IF(G12&lt;=79,"Se cumple aceptablemente",IF(G12&lt;=89,"Se cumple en alto grado",IF(G12&gt;=90,"Se cumple plenamente","EROR")))))</f>
        <v>Se cumple plenamente</v>
      </c>
      <c r="I12" s="12" t="str">
        <f t="shared" ref="I12:I13" si="5">IF(G12&lt;=59,"Debilidad",IF(G12&lt;=79,"Oportunidad",IF(G12&gt;=80,"Fortaleza","EROR")))</f>
        <v>Fortaleza</v>
      </c>
      <c r="J12" s="146">
        <f>(G12+G13)/2</f>
        <v>90</v>
      </c>
      <c r="K12" s="146" t="str">
        <f>IF(J12&lt;=30,"No se cumple",IF(J12&lt;=59,"Se cumple insatisfactoriamente",IF(J12&lt;=79,"Se cumple aceptablemente",IF(J12&lt;=89,"Se cumple en alto grado",IF(J12&gt;=90,"Se cumple plenamente","EROR")))))</f>
        <v>Se cumple plenamente</v>
      </c>
      <c r="L12" s="24"/>
      <c r="M12" s="24"/>
      <c r="N12" s="24"/>
      <c r="O12" s="24"/>
      <c r="P12" s="24"/>
      <c r="Q12" s="24"/>
      <c r="R12" s="24"/>
      <c r="S12" s="24"/>
      <c r="T12" s="24"/>
      <c r="U12" s="24"/>
      <c r="V12" s="24"/>
      <c r="W12" s="24"/>
      <c r="X12" s="24"/>
      <c r="Y12" s="24"/>
      <c r="Z12" s="24"/>
      <c r="AA12" s="88"/>
      <c r="AB12" s="88"/>
      <c r="AC12" s="88"/>
      <c r="AD12" s="88"/>
      <c r="AE12" s="88"/>
    </row>
    <row r="13" spans="1:31" ht="372.6" x14ac:dyDescent="0.3">
      <c r="A13" s="29" t="s">
        <v>241</v>
      </c>
      <c r="B13" s="30" t="s">
        <v>242</v>
      </c>
      <c r="C13" s="32" t="s">
        <v>40</v>
      </c>
      <c r="D13" s="31" t="s">
        <v>41</v>
      </c>
      <c r="E13" s="32" t="s">
        <v>42</v>
      </c>
      <c r="F13" s="37" t="s">
        <v>243</v>
      </c>
      <c r="G13" s="38">
        <v>90</v>
      </c>
      <c r="H13" s="38" t="str">
        <f t="shared" si="4"/>
        <v>Se cumple plenamente</v>
      </c>
      <c r="I13" s="38" t="str">
        <f t="shared" si="5"/>
        <v>Fortaleza</v>
      </c>
      <c r="J13" s="147"/>
      <c r="K13" s="147"/>
      <c r="L13" s="24"/>
      <c r="M13" s="24"/>
      <c r="N13" s="24"/>
      <c r="O13" s="24"/>
      <c r="P13" s="24"/>
      <c r="Q13" s="24"/>
      <c r="R13" s="24"/>
      <c r="S13" s="24"/>
      <c r="T13" s="24"/>
      <c r="U13" s="24"/>
      <c r="V13" s="24"/>
      <c r="W13" s="24"/>
      <c r="X13" s="24"/>
      <c r="Y13" s="24"/>
      <c r="Z13" s="24"/>
      <c r="AA13" s="88"/>
      <c r="AB13" s="88"/>
      <c r="AC13" s="88"/>
      <c r="AD13" s="88"/>
      <c r="AE13" s="88"/>
    </row>
    <row r="14" spans="1:31" ht="13.5" customHeight="1" x14ac:dyDescent="0.3">
      <c r="A14" s="26" t="s">
        <v>244</v>
      </c>
      <c r="B14" s="173" t="s">
        <v>245</v>
      </c>
      <c r="C14" s="152"/>
      <c r="D14" s="152"/>
      <c r="E14" s="152"/>
      <c r="F14" s="152"/>
      <c r="G14" s="152"/>
      <c r="H14" s="152"/>
      <c r="I14" s="152"/>
      <c r="J14" s="152"/>
      <c r="K14" s="153"/>
      <c r="L14" s="89"/>
      <c r="M14" s="89"/>
      <c r="N14" s="89"/>
      <c r="O14" s="89"/>
      <c r="P14" s="89"/>
      <c r="Q14" s="89"/>
      <c r="R14" s="89"/>
      <c r="S14" s="89"/>
      <c r="T14" s="89"/>
      <c r="U14" s="89"/>
      <c r="V14" s="89"/>
      <c r="W14" s="89"/>
      <c r="X14" s="89"/>
      <c r="Y14" s="89"/>
      <c r="Z14" s="89"/>
      <c r="AA14" s="90"/>
      <c r="AB14" s="90"/>
      <c r="AC14" s="90"/>
      <c r="AD14" s="90"/>
      <c r="AE14" s="90"/>
    </row>
    <row r="15" spans="1:31" ht="13.5" customHeight="1" x14ac:dyDescent="0.3">
      <c r="A15" s="79" t="s">
        <v>3</v>
      </c>
      <c r="B15" s="80" t="s">
        <v>4</v>
      </c>
      <c r="C15" s="79" t="s">
        <v>5</v>
      </c>
      <c r="D15" s="80" t="s">
        <v>6</v>
      </c>
      <c r="E15" s="80" t="s">
        <v>7</v>
      </c>
      <c r="F15" s="80" t="s">
        <v>8</v>
      </c>
      <c r="G15" s="43" t="s">
        <v>9</v>
      </c>
      <c r="H15" s="171" t="s">
        <v>10</v>
      </c>
      <c r="I15" s="153"/>
      <c r="J15" s="171" t="s">
        <v>11</v>
      </c>
      <c r="K15" s="153"/>
      <c r="L15" s="24"/>
      <c r="M15" s="24"/>
      <c r="N15" s="24"/>
      <c r="O15" s="24"/>
      <c r="P15" s="24"/>
      <c r="Q15" s="24"/>
      <c r="R15" s="24"/>
      <c r="S15" s="24"/>
      <c r="T15" s="24"/>
      <c r="U15" s="24"/>
      <c r="V15" s="24"/>
      <c r="W15" s="24"/>
      <c r="X15" s="24"/>
      <c r="Y15" s="24"/>
      <c r="Z15" s="24"/>
      <c r="AA15" s="88"/>
      <c r="AB15" s="88"/>
      <c r="AC15" s="88"/>
      <c r="AD15" s="88"/>
      <c r="AE15" s="88"/>
    </row>
    <row r="16" spans="1:31" ht="409.6" x14ac:dyDescent="0.3">
      <c r="A16" s="29" t="s">
        <v>246</v>
      </c>
      <c r="B16" s="30" t="s">
        <v>247</v>
      </c>
      <c r="C16" s="32" t="s">
        <v>40</v>
      </c>
      <c r="D16" s="31" t="s">
        <v>41</v>
      </c>
      <c r="E16" s="32" t="s">
        <v>42</v>
      </c>
      <c r="F16" s="92" t="s">
        <v>248</v>
      </c>
      <c r="G16" s="38">
        <v>92</v>
      </c>
      <c r="H16" s="38" t="str">
        <f t="shared" ref="H16:H17" si="6">IF(G16&lt;=30,"No se cumple",IF(G16&lt;=59,"Se cumple insatisfactoriamente",IF(G16&lt;=79,"Se cumple aceptablemente",IF(G16&lt;=89,"Se cumple en alto grado",IF(G16&gt;=90,"Se cumple plenamente","EROR")))))</f>
        <v>Se cumple plenamente</v>
      </c>
      <c r="I16" s="38" t="str">
        <f t="shared" ref="I16:I17" si="7">IF(G16&lt;=59,"Debilidad",IF(G16&lt;=79,"Oportunidad",IF(G16&gt;=80,"Fortaleza","EROR")))</f>
        <v>Fortaleza</v>
      </c>
      <c r="J16" s="146">
        <f>(G16+G17)/2</f>
        <v>92.5</v>
      </c>
      <c r="K16" s="146" t="str">
        <f>IF(J16&lt;=30,"No se cumple",IF(J16&lt;=59,"Se cumple insatisfactoriamente",IF(J16&lt;=79,"Se cumple aceptablemente",IF(J16&lt;=89,"Se cumple en alto grado",IF(J16&gt;=90,"Se cumple plenamente","EROR")))))</f>
        <v>Se cumple plenamente</v>
      </c>
      <c r="L16" s="24"/>
      <c r="M16" s="24"/>
      <c r="N16" s="24"/>
      <c r="O16" s="24"/>
      <c r="P16" s="24"/>
      <c r="Q16" s="24"/>
      <c r="R16" s="24"/>
      <c r="S16" s="24"/>
      <c r="T16" s="24"/>
      <c r="U16" s="24"/>
      <c r="V16" s="24"/>
      <c r="W16" s="24"/>
      <c r="X16" s="24"/>
      <c r="Y16" s="24"/>
      <c r="Z16" s="24"/>
      <c r="AA16" s="88"/>
      <c r="AB16" s="88"/>
      <c r="AC16" s="88"/>
      <c r="AD16" s="88"/>
      <c r="AE16" s="88"/>
    </row>
    <row r="17" spans="1:31" ht="231" customHeight="1" x14ac:dyDescent="0.3">
      <c r="A17" s="19" t="s">
        <v>249</v>
      </c>
      <c r="B17" s="93" t="s">
        <v>250</v>
      </c>
      <c r="C17" s="21" t="s">
        <v>32</v>
      </c>
      <c r="D17" s="21" t="s">
        <v>15</v>
      </c>
      <c r="E17" s="94" t="s">
        <v>251</v>
      </c>
      <c r="F17" s="22" t="s">
        <v>252</v>
      </c>
      <c r="G17" s="23">
        <v>93</v>
      </c>
      <c r="H17" s="23" t="str">
        <f t="shared" si="6"/>
        <v>Se cumple plenamente</v>
      </c>
      <c r="I17" s="23" t="str">
        <f t="shared" si="7"/>
        <v>Fortaleza</v>
      </c>
      <c r="J17" s="147"/>
      <c r="K17" s="147"/>
      <c r="L17" s="24"/>
      <c r="M17" s="24"/>
      <c r="N17" s="24"/>
      <c r="O17" s="24"/>
      <c r="P17" s="24"/>
      <c r="Q17" s="24"/>
      <c r="R17" s="24"/>
      <c r="S17" s="24"/>
      <c r="T17" s="24"/>
      <c r="U17" s="24"/>
      <c r="V17" s="24"/>
      <c r="W17" s="24"/>
      <c r="X17" s="24"/>
      <c r="Y17" s="24"/>
      <c r="Z17" s="24"/>
      <c r="AA17" s="88"/>
      <c r="AB17" s="88"/>
      <c r="AC17" s="88"/>
      <c r="AD17" s="88"/>
      <c r="AE17" s="88"/>
    </row>
    <row r="18" spans="1:31" ht="13.5" customHeight="1" x14ac:dyDescent="0.3">
      <c r="A18" s="26" t="s">
        <v>253</v>
      </c>
      <c r="B18" s="173" t="s">
        <v>254</v>
      </c>
      <c r="C18" s="152"/>
      <c r="D18" s="152"/>
      <c r="E18" s="152"/>
      <c r="F18" s="152"/>
      <c r="G18" s="152"/>
      <c r="H18" s="152"/>
      <c r="I18" s="152"/>
      <c r="J18" s="152"/>
      <c r="K18" s="153"/>
      <c r="L18" s="89"/>
      <c r="M18" s="89"/>
      <c r="N18" s="89"/>
      <c r="O18" s="89"/>
      <c r="P18" s="89"/>
      <c r="Q18" s="89"/>
      <c r="R18" s="89"/>
      <c r="S18" s="89"/>
      <c r="T18" s="89"/>
      <c r="U18" s="89"/>
      <c r="V18" s="89"/>
      <c r="W18" s="89"/>
      <c r="X18" s="89"/>
      <c r="Y18" s="89"/>
      <c r="Z18" s="89"/>
      <c r="AA18" s="90"/>
      <c r="AB18" s="90"/>
      <c r="AC18" s="90"/>
      <c r="AD18" s="90"/>
      <c r="AE18" s="90"/>
    </row>
    <row r="19" spans="1:31" ht="13.5" customHeight="1" x14ac:dyDescent="0.3">
      <c r="A19" s="79" t="s">
        <v>3</v>
      </c>
      <c r="B19" s="80" t="s">
        <v>4</v>
      </c>
      <c r="C19" s="79" t="s">
        <v>5</v>
      </c>
      <c r="D19" s="80" t="s">
        <v>6</v>
      </c>
      <c r="E19" s="80" t="s">
        <v>7</v>
      </c>
      <c r="F19" s="80" t="s">
        <v>8</v>
      </c>
      <c r="G19" s="43" t="s">
        <v>9</v>
      </c>
      <c r="H19" s="171" t="s">
        <v>10</v>
      </c>
      <c r="I19" s="153"/>
      <c r="J19" s="171" t="s">
        <v>11</v>
      </c>
      <c r="K19" s="153"/>
      <c r="L19" s="24"/>
      <c r="M19" s="24"/>
      <c r="N19" s="24"/>
      <c r="O19" s="24"/>
      <c r="P19" s="24"/>
      <c r="Q19" s="24"/>
      <c r="R19" s="24"/>
      <c r="S19" s="24"/>
      <c r="T19" s="24"/>
      <c r="U19" s="24"/>
      <c r="V19" s="24"/>
      <c r="W19" s="24"/>
      <c r="X19" s="24"/>
      <c r="Y19" s="24"/>
      <c r="Z19" s="24"/>
      <c r="AA19" s="88"/>
      <c r="AB19" s="88"/>
      <c r="AC19" s="88"/>
      <c r="AD19" s="88"/>
      <c r="AE19" s="88"/>
    </row>
    <row r="20" spans="1:31" ht="409.6" x14ac:dyDescent="0.3">
      <c r="A20" s="29" t="s">
        <v>255</v>
      </c>
      <c r="B20" s="30" t="s">
        <v>256</v>
      </c>
      <c r="C20" s="32" t="s">
        <v>40</v>
      </c>
      <c r="D20" s="31" t="s">
        <v>41</v>
      </c>
      <c r="E20" s="32" t="s">
        <v>42</v>
      </c>
      <c r="F20" s="37" t="s">
        <v>257</v>
      </c>
      <c r="G20" s="38">
        <v>91</v>
      </c>
      <c r="H20" s="38" t="str">
        <f t="shared" ref="H20:H22" si="8">IF(G20&lt;=30,"No se cumple",IF(G20&lt;=59,"Se cumple insatisfactoriamente",IF(G20&lt;=79,"Se cumple aceptablemente",IF(G20&lt;=89,"Se cumple en alto grado",IF(G20&gt;=90,"Se cumple plenamente","EROR")))))</f>
        <v>Se cumple plenamente</v>
      </c>
      <c r="I20" s="38" t="str">
        <f t="shared" ref="I20:I22" si="9">IF(G20&lt;=59,"Debilidad",IF(G20&lt;=79,"Oportunidad",IF(G20&gt;=80,"Fortaleza","EROR")))</f>
        <v>Fortaleza</v>
      </c>
      <c r="J20" s="146">
        <f>(G20+G21+G22)/3</f>
        <v>93.333333333333329</v>
      </c>
      <c r="K20" s="146" t="str">
        <f>IF(J20&lt;=30,"No se cumple",IF(J20&lt;=59,"Se cumple insatisfactoriamente",IF(J20&lt;=79,"Se cumple aceptablemente",IF(J20&lt;=89,"Se cumple en alto grado",IF(J20&gt;=90,"Se cumple plenamente","EROR")))))</f>
        <v>Se cumple plenamente</v>
      </c>
      <c r="L20" s="24"/>
      <c r="M20" s="24"/>
      <c r="N20" s="24"/>
      <c r="O20" s="24"/>
      <c r="P20" s="24"/>
      <c r="Q20" s="24"/>
      <c r="R20" s="24"/>
      <c r="S20" s="24"/>
      <c r="T20" s="24"/>
      <c r="U20" s="24"/>
      <c r="V20" s="24"/>
      <c r="W20" s="24"/>
      <c r="X20" s="24"/>
      <c r="Y20" s="24"/>
      <c r="Z20" s="24"/>
      <c r="AA20" s="88"/>
      <c r="AB20" s="88"/>
      <c r="AC20" s="88"/>
      <c r="AD20" s="88"/>
      <c r="AE20" s="88"/>
    </row>
    <row r="21" spans="1:31" ht="15.75" customHeight="1" x14ac:dyDescent="0.3">
      <c r="A21" s="19" t="s">
        <v>258</v>
      </c>
      <c r="B21" s="95" t="s">
        <v>259</v>
      </c>
      <c r="C21" s="21" t="s">
        <v>32</v>
      </c>
      <c r="D21" s="21" t="s">
        <v>15</v>
      </c>
      <c r="E21" s="96" t="s">
        <v>260</v>
      </c>
      <c r="F21" s="22" t="s">
        <v>261</v>
      </c>
      <c r="G21" s="23">
        <v>94</v>
      </c>
      <c r="H21" s="23" t="str">
        <f t="shared" si="8"/>
        <v>Se cumple plenamente</v>
      </c>
      <c r="I21" s="23" t="str">
        <f t="shared" si="9"/>
        <v>Fortaleza</v>
      </c>
      <c r="J21" s="147"/>
      <c r="K21" s="147"/>
      <c r="L21" s="24"/>
      <c r="M21" s="24"/>
      <c r="N21" s="24"/>
      <c r="O21" s="24"/>
      <c r="P21" s="24"/>
      <c r="Q21" s="24"/>
      <c r="R21" s="24"/>
      <c r="S21" s="24"/>
      <c r="T21" s="24"/>
      <c r="U21" s="24"/>
      <c r="V21" s="24"/>
      <c r="W21" s="24"/>
      <c r="X21" s="24"/>
      <c r="Y21" s="24"/>
      <c r="Z21" s="24"/>
      <c r="AA21" s="88"/>
      <c r="AB21" s="88"/>
      <c r="AC21" s="88"/>
      <c r="AD21" s="88"/>
      <c r="AE21" s="88"/>
    </row>
    <row r="22" spans="1:31" ht="15.75" customHeight="1" x14ac:dyDescent="0.3">
      <c r="A22" s="19" t="s">
        <v>262</v>
      </c>
      <c r="B22" s="95" t="s">
        <v>263</v>
      </c>
      <c r="C22" s="21" t="s">
        <v>32</v>
      </c>
      <c r="D22" s="21" t="s">
        <v>15</v>
      </c>
      <c r="E22" s="94" t="s">
        <v>264</v>
      </c>
      <c r="F22" s="22" t="s">
        <v>265</v>
      </c>
      <c r="G22" s="23">
        <v>95</v>
      </c>
      <c r="H22" s="23" t="str">
        <f t="shared" si="8"/>
        <v>Se cumple plenamente</v>
      </c>
      <c r="I22" s="23" t="str">
        <f t="shared" si="9"/>
        <v>Fortaleza</v>
      </c>
      <c r="J22" s="148"/>
      <c r="K22" s="148"/>
      <c r="L22" s="24"/>
      <c r="M22" s="24"/>
      <c r="N22" s="24"/>
      <c r="O22" s="24"/>
      <c r="P22" s="24"/>
      <c r="Q22" s="24"/>
      <c r="R22" s="24"/>
      <c r="S22" s="24"/>
      <c r="T22" s="24"/>
      <c r="U22" s="24"/>
      <c r="V22" s="24"/>
      <c r="W22" s="24"/>
      <c r="X22" s="24"/>
      <c r="Y22" s="24"/>
      <c r="Z22" s="24"/>
      <c r="AA22" s="88"/>
      <c r="AB22" s="88"/>
      <c r="AC22" s="88"/>
      <c r="AD22" s="88"/>
      <c r="AE22" s="88"/>
    </row>
    <row r="23" spans="1:31" ht="13.5" customHeight="1" x14ac:dyDescent="0.3">
      <c r="A23" s="26" t="s">
        <v>266</v>
      </c>
      <c r="B23" s="173" t="s">
        <v>267</v>
      </c>
      <c r="C23" s="152"/>
      <c r="D23" s="152"/>
      <c r="E23" s="152"/>
      <c r="F23" s="152"/>
      <c r="G23" s="152"/>
      <c r="H23" s="152"/>
      <c r="I23" s="152"/>
      <c r="J23" s="152"/>
      <c r="K23" s="153"/>
      <c r="L23" s="89"/>
      <c r="M23" s="89"/>
      <c r="N23" s="89"/>
      <c r="O23" s="89"/>
      <c r="P23" s="89"/>
      <c r="Q23" s="89"/>
      <c r="R23" s="89"/>
      <c r="S23" s="89"/>
      <c r="T23" s="89"/>
      <c r="U23" s="89"/>
      <c r="V23" s="89"/>
      <c r="W23" s="89"/>
      <c r="X23" s="89"/>
      <c r="Y23" s="89"/>
      <c r="Z23" s="89"/>
      <c r="AA23" s="90"/>
      <c r="AB23" s="90"/>
      <c r="AC23" s="90"/>
      <c r="AD23" s="90"/>
      <c r="AE23" s="90"/>
    </row>
    <row r="24" spans="1:31" ht="13.5" customHeight="1" x14ac:dyDescent="0.3">
      <c r="A24" s="79" t="s">
        <v>3</v>
      </c>
      <c r="B24" s="80" t="s">
        <v>4</v>
      </c>
      <c r="C24" s="79" t="s">
        <v>5</v>
      </c>
      <c r="D24" s="80" t="s">
        <v>6</v>
      </c>
      <c r="E24" s="80" t="s">
        <v>7</v>
      </c>
      <c r="F24" s="80" t="s">
        <v>8</v>
      </c>
      <c r="G24" s="43" t="s">
        <v>9</v>
      </c>
      <c r="H24" s="171" t="s">
        <v>10</v>
      </c>
      <c r="I24" s="153"/>
      <c r="J24" s="171" t="s">
        <v>11</v>
      </c>
      <c r="K24" s="153"/>
      <c r="L24" s="24"/>
      <c r="M24" s="24"/>
      <c r="N24" s="24"/>
      <c r="O24" s="24"/>
      <c r="P24" s="24"/>
      <c r="Q24" s="24"/>
      <c r="R24" s="24"/>
      <c r="S24" s="24"/>
      <c r="T24" s="24"/>
      <c r="U24" s="24"/>
      <c r="V24" s="24"/>
      <c r="W24" s="24"/>
      <c r="X24" s="24"/>
      <c r="Y24" s="24"/>
      <c r="Z24" s="24"/>
      <c r="AA24" s="88"/>
      <c r="AB24" s="88"/>
      <c r="AC24" s="88"/>
      <c r="AD24" s="88"/>
      <c r="AE24" s="88"/>
    </row>
    <row r="25" spans="1:31" ht="15.75" customHeight="1" x14ac:dyDescent="0.3">
      <c r="A25" s="7" t="s">
        <v>268</v>
      </c>
      <c r="B25" s="16" t="s">
        <v>269</v>
      </c>
      <c r="C25" s="9" t="s">
        <v>87</v>
      </c>
      <c r="D25" s="17" t="s">
        <v>144</v>
      </c>
      <c r="E25" s="18" t="s">
        <v>270</v>
      </c>
      <c r="F25" s="18" t="s">
        <v>271</v>
      </c>
      <c r="G25" s="12">
        <v>96</v>
      </c>
      <c r="H25" s="12" t="str">
        <f t="shared" ref="H25:H26" si="10">IF(G25&lt;=30,"No se cumple",IF(G25&lt;=59,"Se cumple insatisfactoriamente",IF(G25&lt;=79,"Se cumple aceptablemente",IF(G25&lt;=89,"Se cumple en alto grado",IF(G25&gt;=90,"Se cumple plenamente","EROR")))))</f>
        <v>Se cumple plenamente</v>
      </c>
      <c r="I25" s="12" t="str">
        <f t="shared" ref="I25:I26" si="11">IF(G25&lt;=59,"Debilidad",IF(G25&lt;=79,"Oportunidad",IF(G25&gt;=80,"Fortaleza","EROR")))</f>
        <v>Fortaleza</v>
      </c>
      <c r="J25" s="146">
        <f>(G25+G26)/2</f>
        <v>95</v>
      </c>
      <c r="K25" s="146" t="str">
        <f>IF(J25&lt;=30,"No se cumple",IF(J25&lt;=59,"Se cumple insatisfactoriamente",IF(J25&lt;=79,"Se cumple aceptablemente",IF(J25&lt;=89,"Se cumple en alto grado",IF(J25&gt;=90,"Se cumple plenamente","EROR")))))</f>
        <v>Se cumple plenamente</v>
      </c>
      <c r="L25" s="24"/>
      <c r="M25" s="24"/>
      <c r="N25" s="24"/>
      <c r="O25" s="24"/>
      <c r="P25" s="24"/>
      <c r="Q25" s="24"/>
      <c r="R25" s="24"/>
      <c r="S25" s="24"/>
      <c r="T25" s="24"/>
      <c r="U25" s="24"/>
      <c r="V25" s="24"/>
      <c r="W25" s="24"/>
      <c r="X25" s="24"/>
      <c r="Y25" s="24"/>
      <c r="Z25" s="24"/>
      <c r="AA25" s="88"/>
      <c r="AB25" s="88"/>
      <c r="AC25" s="88"/>
      <c r="AD25" s="88"/>
      <c r="AE25" s="88"/>
    </row>
    <row r="26" spans="1:31" ht="15.75" customHeight="1" x14ac:dyDescent="0.3">
      <c r="A26" s="7" t="s">
        <v>272</v>
      </c>
      <c r="B26" s="97" t="s">
        <v>273</v>
      </c>
      <c r="C26" s="17" t="s">
        <v>274</v>
      </c>
      <c r="D26" s="9" t="s">
        <v>15</v>
      </c>
      <c r="E26" s="10" t="s">
        <v>275</v>
      </c>
      <c r="F26" s="11" t="s">
        <v>276</v>
      </c>
      <c r="G26" s="12">
        <v>94</v>
      </c>
      <c r="H26" s="12" t="str">
        <f t="shared" si="10"/>
        <v>Se cumple plenamente</v>
      </c>
      <c r="I26" s="12" t="str">
        <f t="shared" si="11"/>
        <v>Fortaleza</v>
      </c>
      <c r="J26" s="147"/>
      <c r="K26" s="148"/>
      <c r="L26" s="24"/>
      <c r="M26" s="24"/>
      <c r="N26" s="24"/>
      <c r="O26" s="24"/>
      <c r="P26" s="24"/>
      <c r="Q26" s="24"/>
      <c r="R26" s="24"/>
      <c r="S26" s="24"/>
      <c r="T26" s="24"/>
      <c r="U26" s="24"/>
      <c r="V26" s="24"/>
      <c r="W26" s="24"/>
      <c r="X26" s="24"/>
      <c r="Y26" s="24"/>
      <c r="Z26" s="24"/>
      <c r="AA26" s="88"/>
      <c r="AB26" s="88"/>
      <c r="AC26" s="88"/>
      <c r="AD26" s="88"/>
      <c r="AE26" s="88"/>
    </row>
    <row r="27" spans="1:31" ht="13.5" customHeight="1" x14ac:dyDescent="0.3">
      <c r="A27" s="26" t="s">
        <v>277</v>
      </c>
      <c r="B27" s="173" t="s">
        <v>278</v>
      </c>
      <c r="C27" s="152"/>
      <c r="D27" s="152"/>
      <c r="E27" s="152"/>
      <c r="F27" s="152"/>
      <c r="G27" s="152"/>
      <c r="H27" s="152"/>
      <c r="I27" s="152"/>
      <c r="J27" s="152"/>
      <c r="K27" s="153"/>
      <c r="L27" s="89"/>
      <c r="M27" s="89"/>
      <c r="N27" s="89"/>
      <c r="O27" s="89"/>
      <c r="P27" s="89"/>
      <c r="Q27" s="89"/>
      <c r="R27" s="89"/>
      <c r="S27" s="89"/>
      <c r="T27" s="89"/>
      <c r="U27" s="89"/>
      <c r="V27" s="89"/>
      <c r="W27" s="89"/>
      <c r="X27" s="89"/>
      <c r="Y27" s="89"/>
      <c r="Z27" s="89"/>
      <c r="AA27" s="90"/>
      <c r="AB27" s="90"/>
      <c r="AC27" s="90"/>
      <c r="AD27" s="90"/>
      <c r="AE27" s="90"/>
    </row>
    <row r="28" spans="1:31" ht="13.5" customHeight="1" x14ac:dyDescent="0.3">
      <c r="A28" s="79" t="s">
        <v>3</v>
      </c>
      <c r="B28" s="80" t="s">
        <v>4</v>
      </c>
      <c r="C28" s="79" t="s">
        <v>5</v>
      </c>
      <c r="D28" s="80" t="s">
        <v>6</v>
      </c>
      <c r="E28" s="80" t="s">
        <v>7</v>
      </c>
      <c r="F28" s="80" t="s">
        <v>8</v>
      </c>
      <c r="G28" s="43" t="s">
        <v>9</v>
      </c>
      <c r="H28" s="171" t="s">
        <v>10</v>
      </c>
      <c r="I28" s="153"/>
      <c r="J28" s="171" t="s">
        <v>11</v>
      </c>
      <c r="K28" s="153"/>
      <c r="L28" s="24"/>
      <c r="M28" s="24"/>
      <c r="N28" s="24"/>
      <c r="O28" s="24"/>
      <c r="P28" s="24"/>
      <c r="Q28" s="24"/>
      <c r="R28" s="24"/>
      <c r="S28" s="24"/>
      <c r="T28" s="24"/>
      <c r="U28" s="24"/>
      <c r="V28" s="24"/>
      <c r="W28" s="24"/>
      <c r="X28" s="24"/>
      <c r="Y28" s="24"/>
      <c r="Z28" s="24"/>
      <c r="AA28" s="88"/>
      <c r="AB28" s="88"/>
      <c r="AC28" s="88"/>
      <c r="AD28" s="88"/>
      <c r="AE28" s="88"/>
    </row>
    <row r="29" spans="1:31" ht="15.75" customHeight="1" x14ac:dyDescent="0.3">
      <c r="A29" s="7" t="s">
        <v>279</v>
      </c>
      <c r="B29" s="16" t="s">
        <v>280</v>
      </c>
      <c r="C29" s="9" t="s">
        <v>87</v>
      </c>
      <c r="D29" s="9" t="s">
        <v>15</v>
      </c>
      <c r="E29" s="10" t="s">
        <v>281</v>
      </c>
      <c r="F29" s="11" t="s">
        <v>282</v>
      </c>
      <c r="G29" s="12">
        <v>92</v>
      </c>
      <c r="H29" s="12" t="str">
        <f>IF(G29&lt;=30,"No se cumple",IF(G29&lt;=59,"Se cumple insatisfactoriamente",IF(G29&lt;=79,"Se cumple aceptablemente",IF(G29&lt;=89,"Se cumple en alto grado",IF(G29&gt;=90,"Se cumple plenamente","EROR")))))</f>
        <v>Se cumple plenamente</v>
      </c>
      <c r="I29" s="12" t="str">
        <f>IF(G29&lt;=59,"Debilidad",IF(G29&lt;=79,"Oportunidad",IF(G29&gt;=80,"Fortaleza","EROR")))</f>
        <v>Fortaleza</v>
      </c>
      <c r="J29" s="13">
        <f>(G29)/1</f>
        <v>92</v>
      </c>
      <c r="K29" s="12" t="str">
        <f>IF(J29&lt;=30,"No se cumple",IF(J29&lt;=59,"Se cumple insatisfactoriamente",IF(J29&lt;=79,"Se cumple aceptablemente",IF(J29&lt;=89,"Se cumple en alto grado",IF(J29&gt;=90,"Se cumple plenamente","EROR")))))</f>
        <v>Se cumple plenamente</v>
      </c>
      <c r="L29" s="24"/>
      <c r="M29" s="24"/>
      <c r="N29" s="24"/>
      <c r="O29" s="24"/>
      <c r="P29" s="24"/>
      <c r="Q29" s="24"/>
      <c r="R29" s="24"/>
      <c r="S29" s="24"/>
      <c r="T29" s="24"/>
      <c r="U29" s="24"/>
      <c r="V29" s="24"/>
      <c r="W29" s="24"/>
      <c r="X29" s="24"/>
      <c r="Y29" s="24"/>
      <c r="Z29" s="24"/>
      <c r="AA29" s="88"/>
      <c r="AB29" s="88"/>
      <c r="AC29" s="88"/>
      <c r="AD29" s="88"/>
      <c r="AE29" s="88"/>
    </row>
    <row r="30" spans="1:31" ht="13.5" customHeight="1" x14ac:dyDescent="0.3">
      <c r="A30" s="26" t="s">
        <v>283</v>
      </c>
      <c r="B30" s="173" t="s">
        <v>284</v>
      </c>
      <c r="C30" s="152"/>
      <c r="D30" s="152"/>
      <c r="E30" s="152"/>
      <c r="F30" s="152"/>
      <c r="G30" s="152"/>
      <c r="H30" s="152"/>
      <c r="I30" s="152"/>
      <c r="J30" s="152"/>
      <c r="K30" s="153"/>
      <c r="L30" s="89"/>
      <c r="M30" s="89"/>
      <c r="N30" s="89"/>
      <c r="O30" s="89"/>
      <c r="P30" s="89"/>
      <c r="Q30" s="89"/>
      <c r="R30" s="89"/>
      <c r="S30" s="89"/>
      <c r="T30" s="89"/>
      <c r="U30" s="89"/>
      <c r="V30" s="89"/>
      <c r="W30" s="89"/>
      <c r="X30" s="89"/>
      <c r="Y30" s="89"/>
      <c r="Z30" s="89"/>
      <c r="AA30" s="90"/>
      <c r="AB30" s="90"/>
      <c r="AC30" s="90"/>
      <c r="AD30" s="90"/>
      <c r="AE30" s="90"/>
    </row>
    <row r="31" spans="1:31" ht="13.5" customHeight="1" x14ac:dyDescent="0.3">
      <c r="A31" s="79" t="s">
        <v>3</v>
      </c>
      <c r="B31" s="80" t="s">
        <v>4</v>
      </c>
      <c r="C31" s="79" t="s">
        <v>5</v>
      </c>
      <c r="D31" s="80" t="s">
        <v>6</v>
      </c>
      <c r="E31" s="80" t="s">
        <v>7</v>
      </c>
      <c r="F31" s="80" t="s">
        <v>8</v>
      </c>
      <c r="G31" s="43" t="s">
        <v>9</v>
      </c>
      <c r="H31" s="171" t="s">
        <v>10</v>
      </c>
      <c r="I31" s="153"/>
      <c r="J31" s="171" t="s">
        <v>11</v>
      </c>
      <c r="K31" s="153"/>
      <c r="L31" s="24"/>
      <c r="M31" s="24"/>
      <c r="N31" s="24"/>
      <c r="O31" s="24"/>
      <c r="P31" s="24"/>
      <c r="Q31" s="24"/>
      <c r="R31" s="24"/>
      <c r="S31" s="24"/>
      <c r="T31" s="24"/>
      <c r="U31" s="24"/>
      <c r="V31" s="24"/>
      <c r="W31" s="24"/>
      <c r="X31" s="24"/>
      <c r="Y31" s="24"/>
      <c r="Z31" s="24"/>
      <c r="AA31" s="88"/>
      <c r="AB31" s="88"/>
      <c r="AC31" s="88"/>
      <c r="AD31" s="88"/>
      <c r="AE31" s="88"/>
    </row>
    <row r="32" spans="1:31" ht="206.25" customHeight="1" x14ac:dyDescent="0.3">
      <c r="A32" s="7" t="s">
        <v>285</v>
      </c>
      <c r="B32" s="97" t="s">
        <v>286</v>
      </c>
      <c r="C32" s="9" t="s">
        <v>287</v>
      </c>
      <c r="D32" s="9" t="s">
        <v>15</v>
      </c>
      <c r="E32" s="18" t="s">
        <v>288</v>
      </c>
      <c r="F32" s="18" t="s">
        <v>289</v>
      </c>
      <c r="G32" s="12">
        <v>94</v>
      </c>
      <c r="H32" s="12" t="str">
        <f t="shared" ref="H32:H33" si="12">IF(G32&lt;=30,"No se cumple",IF(G32&lt;=59,"Se cumple insatisfactoriamente",IF(G32&lt;=79,"Se cumple aceptablemente",IF(G32&lt;=89,"Se cumple en alto grado",IF(G32&gt;=90,"Se cumple plenamente","EROR")))))</f>
        <v>Se cumple plenamente</v>
      </c>
      <c r="I32" s="12" t="str">
        <f t="shared" ref="I32:I33" si="13">IF(G32&lt;=59,"Debilidad",IF(G32&lt;=79,"Oportunidad",IF(G32&gt;=80,"Fortaleza","EROR")))</f>
        <v>Fortaleza</v>
      </c>
      <c r="J32" s="146">
        <f>(G32+G33)/2</f>
        <v>93.5</v>
      </c>
      <c r="K32" s="146" t="str">
        <f>IF(J32&lt;=30,"No se cumple",IF(J32&lt;=59,"Se cumple insatisfactoriamente",IF(J32&lt;=79,"Se cumple aceptablemente",IF(J32&lt;=89,"Se cumple en alto grado",IF(J32&gt;=90,"Se cumple plenamente","EROR")))))</f>
        <v>Se cumple plenamente</v>
      </c>
      <c r="L32" s="24"/>
      <c r="M32" s="24"/>
      <c r="N32" s="24"/>
      <c r="O32" s="24"/>
      <c r="P32" s="24"/>
      <c r="Q32" s="24"/>
      <c r="R32" s="24"/>
      <c r="S32" s="24"/>
      <c r="T32" s="24"/>
      <c r="U32" s="24"/>
      <c r="V32" s="24"/>
      <c r="W32" s="24"/>
      <c r="X32" s="24"/>
      <c r="Y32" s="24"/>
      <c r="Z32" s="24"/>
      <c r="AA32" s="88"/>
      <c r="AB32" s="88"/>
      <c r="AC32" s="88"/>
      <c r="AD32" s="88"/>
      <c r="AE32" s="88"/>
    </row>
    <row r="33" spans="1:31" ht="168" customHeight="1" x14ac:dyDescent="0.3">
      <c r="A33" s="29" t="s">
        <v>290</v>
      </c>
      <c r="B33" s="30" t="s">
        <v>291</v>
      </c>
      <c r="C33" s="32" t="s">
        <v>40</v>
      </c>
      <c r="D33" s="31" t="s">
        <v>41</v>
      </c>
      <c r="E33" s="32" t="s">
        <v>42</v>
      </c>
      <c r="F33" s="37" t="s">
        <v>292</v>
      </c>
      <c r="G33" s="38">
        <v>93</v>
      </c>
      <c r="H33" s="38" t="str">
        <f t="shared" si="12"/>
        <v>Se cumple plenamente</v>
      </c>
      <c r="I33" s="38" t="str">
        <f t="shared" si="13"/>
        <v>Fortaleza</v>
      </c>
      <c r="J33" s="147"/>
      <c r="K33" s="147"/>
      <c r="L33" s="24"/>
      <c r="M33" s="24"/>
      <c r="N33" s="24"/>
      <c r="O33" s="24"/>
      <c r="P33" s="24"/>
      <c r="Q33" s="24"/>
      <c r="R33" s="24"/>
      <c r="S33" s="24"/>
      <c r="T33" s="24"/>
      <c r="U33" s="24"/>
      <c r="V33" s="24"/>
      <c r="W33" s="24"/>
      <c r="X33" s="24"/>
      <c r="Y33" s="24"/>
      <c r="Z33" s="24"/>
      <c r="AA33" s="88"/>
      <c r="AB33" s="88"/>
      <c r="AC33" s="88"/>
      <c r="AD33" s="88"/>
      <c r="AE33" s="88"/>
    </row>
    <row r="34" spans="1:31" ht="13.5" customHeight="1" x14ac:dyDescent="0.3">
      <c r="A34" s="26" t="s">
        <v>293</v>
      </c>
      <c r="B34" s="173" t="s">
        <v>294</v>
      </c>
      <c r="C34" s="152"/>
      <c r="D34" s="152"/>
      <c r="E34" s="152"/>
      <c r="F34" s="152"/>
      <c r="G34" s="152"/>
      <c r="H34" s="152"/>
      <c r="I34" s="152"/>
      <c r="J34" s="152"/>
      <c r="K34" s="153"/>
      <c r="L34" s="89"/>
      <c r="M34" s="89"/>
      <c r="N34" s="89"/>
      <c r="O34" s="89"/>
      <c r="P34" s="89"/>
      <c r="Q34" s="89"/>
      <c r="R34" s="89"/>
      <c r="S34" s="89"/>
      <c r="T34" s="89"/>
      <c r="U34" s="89"/>
      <c r="V34" s="89"/>
      <c r="W34" s="89"/>
      <c r="X34" s="89"/>
      <c r="Y34" s="89"/>
      <c r="Z34" s="89"/>
      <c r="AA34" s="90"/>
      <c r="AB34" s="90"/>
      <c r="AC34" s="90"/>
      <c r="AD34" s="90"/>
      <c r="AE34" s="90"/>
    </row>
    <row r="35" spans="1:31" ht="13.5" customHeight="1" x14ac:dyDescent="0.3">
      <c r="A35" s="79" t="s">
        <v>3</v>
      </c>
      <c r="B35" s="80" t="s">
        <v>4</v>
      </c>
      <c r="C35" s="79" t="s">
        <v>5</v>
      </c>
      <c r="D35" s="80" t="s">
        <v>6</v>
      </c>
      <c r="E35" s="80" t="s">
        <v>7</v>
      </c>
      <c r="F35" s="80" t="s">
        <v>8</v>
      </c>
      <c r="G35" s="43" t="s">
        <v>9</v>
      </c>
      <c r="H35" s="171" t="s">
        <v>10</v>
      </c>
      <c r="I35" s="153"/>
      <c r="J35" s="171" t="s">
        <v>11</v>
      </c>
      <c r="K35" s="153"/>
      <c r="L35" s="24"/>
      <c r="M35" s="24"/>
      <c r="N35" s="24"/>
      <c r="O35" s="24"/>
      <c r="P35" s="24"/>
      <c r="Q35" s="24"/>
      <c r="R35" s="24"/>
      <c r="S35" s="24"/>
      <c r="T35" s="24"/>
      <c r="U35" s="24"/>
      <c r="V35" s="24"/>
      <c r="W35" s="24"/>
      <c r="X35" s="24"/>
      <c r="Y35" s="24"/>
      <c r="Z35" s="24"/>
      <c r="AA35" s="88"/>
      <c r="AB35" s="88"/>
      <c r="AC35" s="88"/>
      <c r="AD35" s="88"/>
      <c r="AE35" s="88"/>
    </row>
    <row r="36" spans="1:31" ht="15.75" customHeight="1" x14ac:dyDescent="0.3">
      <c r="A36" s="7" t="s">
        <v>295</v>
      </c>
      <c r="B36" s="16" t="s">
        <v>296</v>
      </c>
      <c r="C36" s="17" t="s">
        <v>297</v>
      </c>
      <c r="D36" s="17" t="s">
        <v>27</v>
      </c>
      <c r="E36" s="12" t="s">
        <v>298</v>
      </c>
      <c r="F36" s="11" t="s">
        <v>299</v>
      </c>
      <c r="G36" s="12">
        <v>96</v>
      </c>
      <c r="H36" s="12" t="str">
        <f t="shared" ref="H36:H37" si="14">IF(G36&lt;=30,"No se cumple",IF(G36&lt;=59,"Se cumple insatisfactoriamente",IF(G36&lt;=79,"Se cumple aceptablemente",IF(G36&lt;=89,"Se cumple en alto grado",IF(G36&gt;=90,"Se cumple plenamente","EROR")))))</f>
        <v>Se cumple plenamente</v>
      </c>
      <c r="I36" s="12" t="str">
        <f t="shared" ref="I36:I37" si="15">IF(G36&lt;=59,"Debilidad",IF(G36&lt;=79,"Oportunidad",IF(G36&gt;=80,"Fortaleza","EROR")))</f>
        <v>Fortaleza</v>
      </c>
      <c r="J36" s="146">
        <f>(G36+G37)/2</f>
        <v>95.5</v>
      </c>
      <c r="K36" s="146" t="str">
        <f>IF(J36&lt;=30,"No se cumple",IF(J36&lt;=59,"Se cumple insatisfactoriamente",IF(J36&lt;=79,"Se cumple aceptablemente",IF(J36&lt;=89,"Se cumple en alto grado",IF(J36&gt;=90,"Se cumple plenamente","EROR")))))</f>
        <v>Se cumple plenamente</v>
      </c>
      <c r="L36" s="24"/>
      <c r="M36" s="24"/>
      <c r="N36" s="24"/>
      <c r="O36" s="24"/>
      <c r="P36" s="24"/>
      <c r="Q36" s="24"/>
      <c r="R36" s="24"/>
      <c r="S36" s="24"/>
      <c r="T36" s="24"/>
      <c r="U36" s="24"/>
      <c r="V36" s="24"/>
      <c r="W36" s="24"/>
      <c r="X36" s="24"/>
      <c r="Y36" s="24"/>
      <c r="Z36" s="24"/>
      <c r="AA36" s="88"/>
      <c r="AB36" s="88"/>
      <c r="AC36" s="88"/>
      <c r="AD36" s="88"/>
      <c r="AE36" s="88"/>
    </row>
    <row r="37" spans="1:31" ht="15.75" customHeight="1" x14ac:dyDescent="0.3">
      <c r="A37" s="7" t="s">
        <v>300</v>
      </c>
      <c r="B37" s="16" t="s">
        <v>301</v>
      </c>
      <c r="C37" s="9" t="s">
        <v>32</v>
      </c>
      <c r="D37" s="17" t="s">
        <v>27</v>
      </c>
      <c r="E37" s="10" t="s">
        <v>302</v>
      </c>
      <c r="F37" s="11" t="s">
        <v>303</v>
      </c>
      <c r="G37" s="12">
        <v>95</v>
      </c>
      <c r="H37" s="12" t="str">
        <f t="shared" si="14"/>
        <v>Se cumple plenamente</v>
      </c>
      <c r="I37" s="12" t="str">
        <f t="shared" si="15"/>
        <v>Fortaleza</v>
      </c>
      <c r="J37" s="148"/>
      <c r="K37" s="148"/>
      <c r="L37" s="24"/>
      <c r="M37" s="24"/>
      <c r="N37" s="24"/>
      <c r="O37" s="24"/>
      <c r="P37" s="24"/>
      <c r="Q37" s="24"/>
      <c r="R37" s="24"/>
      <c r="S37" s="24"/>
      <c r="T37" s="24"/>
      <c r="U37" s="24"/>
      <c r="V37" s="24"/>
      <c r="W37" s="24"/>
      <c r="X37" s="24"/>
      <c r="Y37" s="24"/>
      <c r="Z37" s="24"/>
      <c r="AA37" s="88"/>
      <c r="AB37" s="88"/>
      <c r="AC37" s="88"/>
      <c r="AD37" s="88"/>
      <c r="AE37" s="88"/>
    </row>
    <row r="38" spans="1:31" ht="13.5" customHeight="1" x14ac:dyDescent="0.3">
      <c r="A38" s="1"/>
      <c r="B38" s="1"/>
      <c r="C38" s="1"/>
      <c r="D38" s="1"/>
      <c r="E38" s="1"/>
      <c r="F38" s="1"/>
      <c r="G38" s="1"/>
      <c r="H38" s="1"/>
      <c r="I38" s="1"/>
      <c r="J38" s="1"/>
      <c r="K38" s="1"/>
      <c r="L38" s="24"/>
      <c r="M38" s="24"/>
      <c r="N38" s="24"/>
      <c r="O38" s="24"/>
      <c r="P38" s="24"/>
      <c r="Q38" s="24"/>
      <c r="R38" s="24"/>
      <c r="S38" s="24"/>
      <c r="T38" s="24"/>
      <c r="U38" s="24"/>
      <c r="V38" s="24"/>
      <c r="W38" s="24"/>
      <c r="X38" s="24"/>
      <c r="Y38" s="24"/>
      <c r="Z38" s="24"/>
      <c r="AA38" s="88"/>
      <c r="AB38" s="88"/>
      <c r="AC38" s="88"/>
      <c r="AD38" s="88"/>
      <c r="AE38" s="88"/>
    </row>
    <row r="39" spans="1:31" ht="13.5" customHeight="1" x14ac:dyDescent="0.3">
      <c r="A39" s="1"/>
      <c r="B39" s="1"/>
      <c r="C39" s="1"/>
      <c r="D39" s="1"/>
      <c r="E39" s="1"/>
      <c r="F39" s="1"/>
      <c r="G39" s="1"/>
      <c r="H39" s="1"/>
      <c r="I39" s="1"/>
      <c r="J39" s="1"/>
      <c r="K39" s="1"/>
      <c r="L39" s="24"/>
      <c r="M39" s="24"/>
      <c r="N39" s="24"/>
      <c r="O39" s="24"/>
      <c r="P39" s="24"/>
      <c r="Q39" s="24"/>
      <c r="R39" s="24"/>
      <c r="S39" s="24"/>
      <c r="T39" s="24"/>
      <c r="U39" s="24"/>
      <c r="V39" s="24"/>
      <c r="W39" s="24"/>
      <c r="X39" s="24"/>
      <c r="Y39" s="24"/>
      <c r="Z39" s="24"/>
      <c r="AA39" s="88"/>
      <c r="AB39" s="88"/>
      <c r="AC39" s="88"/>
      <c r="AD39" s="88"/>
      <c r="AE39" s="88"/>
    </row>
    <row r="40" spans="1:31" ht="13.5" customHeight="1" x14ac:dyDescent="0.3">
      <c r="A40" s="1"/>
      <c r="B40" s="1"/>
      <c r="C40" s="1"/>
      <c r="D40" s="1"/>
      <c r="E40" s="1"/>
      <c r="F40" s="1"/>
      <c r="G40" s="1"/>
      <c r="H40" s="1"/>
      <c r="I40" s="1"/>
      <c r="J40" s="1"/>
      <c r="K40" s="1"/>
      <c r="L40" s="24"/>
      <c r="M40" s="24"/>
      <c r="N40" s="24"/>
      <c r="O40" s="24"/>
      <c r="P40" s="24"/>
      <c r="Q40" s="24"/>
      <c r="R40" s="24"/>
      <c r="S40" s="24"/>
      <c r="T40" s="24"/>
      <c r="U40" s="24"/>
      <c r="V40" s="24"/>
      <c r="W40" s="24"/>
      <c r="X40" s="24"/>
      <c r="Y40" s="24"/>
      <c r="Z40" s="24"/>
      <c r="AA40" s="88"/>
      <c r="AB40" s="88"/>
      <c r="AC40" s="88"/>
      <c r="AD40" s="88"/>
      <c r="AE40" s="88"/>
    </row>
    <row r="41" spans="1:31" ht="13.5" customHeight="1" x14ac:dyDescent="0.3">
      <c r="A41" s="1"/>
      <c r="B41" s="1"/>
      <c r="C41" s="1"/>
      <c r="D41" s="1"/>
      <c r="E41" s="1"/>
      <c r="F41" s="1"/>
      <c r="G41" s="1"/>
      <c r="H41" s="1"/>
      <c r="I41" s="1"/>
      <c r="J41" s="1"/>
      <c r="K41" s="1"/>
      <c r="L41" s="24"/>
      <c r="M41" s="24"/>
      <c r="N41" s="24"/>
      <c r="O41" s="24"/>
      <c r="P41" s="24"/>
      <c r="Q41" s="24"/>
      <c r="R41" s="24"/>
      <c r="S41" s="24"/>
      <c r="T41" s="24"/>
      <c r="U41" s="24"/>
      <c r="V41" s="24"/>
      <c r="W41" s="24"/>
      <c r="X41" s="24"/>
      <c r="Y41" s="24"/>
      <c r="Z41" s="24"/>
      <c r="AA41" s="88"/>
      <c r="AB41" s="88"/>
      <c r="AC41" s="88"/>
      <c r="AD41" s="88"/>
      <c r="AE41" s="88"/>
    </row>
    <row r="42" spans="1:31" ht="13.5" customHeight="1" x14ac:dyDescent="0.3">
      <c r="A42" s="1"/>
      <c r="B42" s="1"/>
      <c r="C42" s="1"/>
      <c r="D42" s="1"/>
      <c r="E42" s="1"/>
      <c r="F42" s="1"/>
      <c r="G42" s="1"/>
      <c r="H42" s="1"/>
      <c r="I42" s="1"/>
      <c r="J42" s="1"/>
      <c r="K42" s="1"/>
      <c r="L42" s="24"/>
      <c r="M42" s="24"/>
      <c r="N42" s="24"/>
      <c r="O42" s="24"/>
      <c r="P42" s="24"/>
      <c r="Q42" s="24"/>
      <c r="R42" s="24"/>
      <c r="S42" s="24"/>
      <c r="T42" s="24"/>
      <c r="U42" s="24"/>
      <c r="V42" s="24"/>
      <c r="W42" s="24"/>
      <c r="X42" s="24"/>
      <c r="Y42" s="24"/>
      <c r="Z42" s="24"/>
      <c r="AA42" s="88"/>
      <c r="AB42" s="88"/>
      <c r="AC42" s="88"/>
      <c r="AD42" s="88"/>
      <c r="AE42" s="88"/>
    </row>
    <row r="43" spans="1:31" ht="13.5" customHeight="1" x14ac:dyDescent="0.3">
      <c r="A43" s="1"/>
      <c r="B43" s="1"/>
      <c r="C43" s="1"/>
      <c r="D43" s="1"/>
      <c r="E43" s="1"/>
      <c r="F43" s="1"/>
      <c r="G43" s="1"/>
      <c r="H43" s="1"/>
      <c r="I43" s="1"/>
      <c r="J43" s="1"/>
      <c r="K43" s="1"/>
      <c r="L43" s="24"/>
      <c r="M43" s="24"/>
      <c r="N43" s="24"/>
      <c r="O43" s="24"/>
      <c r="P43" s="24"/>
      <c r="Q43" s="24"/>
      <c r="R43" s="24"/>
      <c r="S43" s="24"/>
      <c r="T43" s="24"/>
      <c r="U43" s="24"/>
      <c r="V43" s="24"/>
      <c r="W43" s="24"/>
      <c r="X43" s="24"/>
      <c r="Y43" s="24"/>
      <c r="Z43" s="24"/>
      <c r="AA43" s="88"/>
      <c r="AB43" s="88"/>
      <c r="AC43" s="88"/>
      <c r="AD43" s="88"/>
      <c r="AE43" s="88"/>
    </row>
    <row r="44" spans="1:31" ht="13.5" customHeight="1" x14ac:dyDescent="0.3">
      <c r="A44" s="1"/>
      <c r="B44" s="1"/>
      <c r="C44" s="1"/>
      <c r="D44" s="1"/>
      <c r="E44" s="1"/>
      <c r="F44" s="1"/>
      <c r="G44" s="1"/>
      <c r="H44" s="1"/>
      <c r="I44" s="1"/>
      <c r="J44" s="1"/>
      <c r="K44" s="1"/>
      <c r="L44" s="24"/>
      <c r="M44" s="24"/>
      <c r="N44" s="24"/>
      <c r="O44" s="24"/>
      <c r="P44" s="24"/>
      <c r="Q44" s="24"/>
      <c r="R44" s="24"/>
      <c r="S44" s="24"/>
      <c r="T44" s="24"/>
      <c r="U44" s="24"/>
      <c r="V44" s="24"/>
      <c r="W44" s="24"/>
      <c r="X44" s="24"/>
      <c r="Y44" s="24"/>
      <c r="Z44" s="24"/>
      <c r="AA44" s="88"/>
      <c r="AB44" s="88"/>
      <c r="AC44" s="88"/>
      <c r="AD44" s="88"/>
      <c r="AE44" s="88"/>
    </row>
    <row r="45" spans="1:31" ht="13.5" customHeight="1" x14ac:dyDescent="0.3">
      <c r="A45" s="1"/>
      <c r="B45" s="1"/>
      <c r="C45" s="1"/>
      <c r="D45" s="1"/>
      <c r="E45" s="1"/>
      <c r="F45" s="1"/>
      <c r="G45" s="1"/>
      <c r="H45" s="1"/>
      <c r="I45" s="1"/>
      <c r="J45" s="1"/>
      <c r="K45" s="1"/>
      <c r="L45" s="24"/>
      <c r="M45" s="24"/>
      <c r="N45" s="24"/>
      <c r="O45" s="24"/>
      <c r="P45" s="24"/>
      <c r="Q45" s="24"/>
      <c r="R45" s="24"/>
      <c r="S45" s="24"/>
      <c r="T45" s="24"/>
      <c r="U45" s="24"/>
      <c r="V45" s="24"/>
      <c r="W45" s="24"/>
      <c r="X45" s="24"/>
      <c r="Y45" s="24"/>
      <c r="Z45" s="24"/>
      <c r="AA45" s="88"/>
      <c r="AB45" s="88"/>
      <c r="AC45" s="88"/>
      <c r="AD45" s="88"/>
      <c r="AE45" s="88"/>
    </row>
    <row r="46" spans="1:31" ht="13.5" customHeight="1" x14ac:dyDescent="0.3">
      <c r="A46" s="1"/>
      <c r="B46" s="1"/>
      <c r="C46" s="1"/>
      <c r="D46" s="1"/>
      <c r="E46" s="1"/>
      <c r="F46" s="1"/>
      <c r="G46" s="1"/>
      <c r="H46" s="1"/>
      <c r="I46" s="1"/>
      <c r="J46" s="1"/>
      <c r="K46" s="1"/>
      <c r="L46" s="24"/>
      <c r="M46" s="24"/>
      <c r="N46" s="24"/>
      <c r="O46" s="24"/>
      <c r="P46" s="24"/>
      <c r="Q46" s="24"/>
      <c r="R46" s="24"/>
      <c r="S46" s="24"/>
      <c r="T46" s="24"/>
      <c r="U46" s="24"/>
      <c r="V46" s="24"/>
      <c r="W46" s="24"/>
      <c r="X46" s="24"/>
      <c r="Y46" s="24"/>
      <c r="Z46" s="24"/>
      <c r="AA46" s="88"/>
      <c r="AB46" s="88"/>
      <c r="AC46" s="88"/>
      <c r="AD46" s="88"/>
      <c r="AE46" s="88"/>
    </row>
    <row r="47" spans="1:31" ht="13.5" customHeight="1" x14ac:dyDescent="0.3">
      <c r="A47" s="1"/>
      <c r="B47" s="1"/>
      <c r="C47" s="1"/>
      <c r="D47" s="1"/>
      <c r="E47" s="1"/>
      <c r="F47" s="1"/>
      <c r="G47" s="1"/>
      <c r="H47" s="1"/>
      <c r="I47" s="1"/>
      <c r="J47" s="1"/>
      <c r="K47" s="1"/>
      <c r="L47" s="24"/>
      <c r="M47" s="24"/>
      <c r="N47" s="24"/>
      <c r="O47" s="24"/>
      <c r="P47" s="24"/>
      <c r="Q47" s="24"/>
      <c r="R47" s="24"/>
      <c r="S47" s="24"/>
      <c r="T47" s="24"/>
      <c r="U47" s="24"/>
      <c r="V47" s="24"/>
      <c r="W47" s="24"/>
      <c r="X47" s="24"/>
      <c r="Y47" s="24"/>
      <c r="Z47" s="24"/>
      <c r="AA47" s="88"/>
      <c r="AB47" s="88"/>
      <c r="AC47" s="88"/>
      <c r="AD47" s="88"/>
      <c r="AE47" s="88"/>
    </row>
    <row r="48" spans="1:31" ht="13.5" customHeight="1" x14ac:dyDescent="0.3">
      <c r="A48" s="1"/>
      <c r="B48" s="1"/>
      <c r="C48" s="1"/>
      <c r="D48" s="1"/>
      <c r="E48" s="1"/>
      <c r="F48" s="1"/>
      <c r="G48" s="1"/>
      <c r="H48" s="1"/>
      <c r="I48" s="1"/>
      <c r="J48" s="1"/>
      <c r="K48" s="1"/>
      <c r="L48" s="24"/>
      <c r="M48" s="24"/>
      <c r="N48" s="24"/>
      <c r="O48" s="24"/>
      <c r="P48" s="24"/>
      <c r="Q48" s="24"/>
      <c r="R48" s="24"/>
      <c r="S48" s="24"/>
      <c r="T48" s="24"/>
      <c r="U48" s="24"/>
      <c r="V48" s="24"/>
      <c r="W48" s="24"/>
      <c r="X48" s="24"/>
      <c r="Y48" s="24"/>
      <c r="Z48" s="24"/>
      <c r="AA48" s="88"/>
      <c r="AB48" s="88"/>
      <c r="AC48" s="88"/>
      <c r="AD48" s="88"/>
      <c r="AE48" s="88"/>
    </row>
    <row r="49" spans="1:31" ht="13.5" customHeight="1" x14ac:dyDescent="0.3">
      <c r="A49" s="1"/>
      <c r="B49" s="1"/>
      <c r="C49" s="1"/>
      <c r="D49" s="1"/>
      <c r="E49" s="1"/>
      <c r="F49" s="1"/>
      <c r="G49" s="1"/>
      <c r="H49" s="1"/>
      <c r="I49" s="1"/>
      <c r="J49" s="1"/>
      <c r="K49" s="1"/>
      <c r="L49" s="24"/>
      <c r="M49" s="24"/>
      <c r="N49" s="24"/>
      <c r="O49" s="24"/>
      <c r="P49" s="24"/>
      <c r="Q49" s="24"/>
      <c r="R49" s="24"/>
      <c r="S49" s="24"/>
      <c r="T49" s="24"/>
      <c r="U49" s="24"/>
      <c r="V49" s="24"/>
      <c r="W49" s="24"/>
      <c r="X49" s="24"/>
      <c r="Y49" s="24"/>
      <c r="Z49" s="24"/>
      <c r="AA49" s="88"/>
      <c r="AB49" s="88"/>
      <c r="AC49" s="88"/>
      <c r="AD49" s="88"/>
      <c r="AE49" s="88"/>
    </row>
    <row r="50" spans="1:31" ht="13.5" customHeight="1" x14ac:dyDescent="0.3">
      <c r="A50" s="1"/>
      <c r="B50" s="1"/>
      <c r="C50" s="1"/>
      <c r="D50" s="1"/>
      <c r="E50" s="1"/>
      <c r="F50" s="1"/>
      <c r="G50" s="1"/>
      <c r="H50" s="1"/>
      <c r="I50" s="1"/>
      <c r="J50" s="1"/>
      <c r="K50" s="1"/>
      <c r="L50" s="24"/>
      <c r="M50" s="24"/>
      <c r="N50" s="24"/>
      <c r="O50" s="24"/>
      <c r="P50" s="24"/>
      <c r="Q50" s="24"/>
      <c r="R50" s="24"/>
      <c r="S50" s="24"/>
      <c r="T50" s="24"/>
      <c r="U50" s="24"/>
      <c r="V50" s="24"/>
      <c r="W50" s="24"/>
      <c r="X50" s="24"/>
      <c r="Y50" s="24"/>
      <c r="Z50" s="24"/>
      <c r="AA50" s="88"/>
      <c r="AB50" s="88"/>
      <c r="AC50" s="88"/>
      <c r="AD50" s="88"/>
      <c r="AE50" s="88"/>
    </row>
    <row r="51" spans="1:31" ht="13.5" customHeight="1" x14ac:dyDescent="0.3">
      <c r="A51" s="1"/>
      <c r="B51" s="1"/>
      <c r="C51" s="1"/>
      <c r="D51" s="1"/>
      <c r="E51" s="1"/>
      <c r="F51" s="1"/>
      <c r="G51" s="1"/>
      <c r="H51" s="1"/>
      <c r="I51" s="1"/>
      <c r="J51" s="1"/>
      <c r="K51" s="1"/>
      <c r="L51" s="24"/>
      <c r="M51" s="24"/>
      <c r="N51" s="24"/>
      <c r="O51" s="24"/>
      <c r="P51" s="24"/>
      <c r="Q51" s="24"/>
      <c r="R51" s="24"/>
      <c r="S51" s="24"/>
      <c r="T51" s="24"/>
      <c r="U51" s="24"/>
      <c r="V51" s="24"/>
      <c r="W51" s="24"/>
      <c r="X51" s="24"/>
      <c r="Y51" s="24"/>
      <c r="Z51" s="24"/>
      <c r="AA51" s="88"/>
      <c r="AB51" s="88"/>
      <c r="AC51" s="88"/>
      <c r="AD51" s="88"/>
      <c r="AE51" s="88"/>
    </row>
    <row r="52" spans="1:31" ht="13.5" customHeight="1" x14ac:dyDescent="0.3">
      <c r="A52" s="1"/>
      <c r="B52" s="1"/>
      <c r="C52" s="1"/>
      <c r="D52" s="1"/>
      <c r="E52" s="1"/>
      <c r="F52" s="1"/>
      <c r="G52" s="1"/>
      <c r="H52" s="1"/>
      <c r="I52" s="1"/>
      <c r="J52" s="1"/>
      <c r="K52" s="1"/>
      <c r="L52" s="24"/>
      <c r="M52" s="24"/>
      <c r="N52" s="24"/>
      <c r="O52" s="24"/>
      <c r="P52" s="24"/>
      <c r="Q52" s="24"/>
      <c r="R52" s="24"/>
      <c r="S52" s="24"/>
      <c r="T52" s="24"/>
      <c r="U52" s="24"/>
      <c r="V52" s="24"/>
      <c r="W52" s="24"/>
      <c r="X52" s="24"/>
      <c r="Y52" s="24"/>
      <c r="Z52" s="24"/>
      <c r="AA52" s="88"/>
      <c r="AB52" s="88"/>
      <c r="AC52" s="88"/>
      <c r="AD52" s="88"/>
      <c r="AE52" s="88"/>
    </row>
    <row r="53" spans="1:31" ht="13.5" customHeight="1" x14ac:dyDescent="0.3">
      <c r="A53" s="1"/>
      <c r="B53" s="1"/>
      <c r="C53" s="1"/>
      <c r="D53" s="1"/>
      <c r="E53" s="1"/>
      <c r="F53" s="1"/>
      <c r="G53" s="1"/>
      <c r="H53" s="1"/>
      <c r="I53" s="1"/>
      <c r="J53" s="1"/>
      <c r="K53" s="1"/>
      <c r="L53" s="24"/>
      <c r="M53" s="24"/>
      <c r="N53" s="24"/>
      <c r="O53" s="24"/>
      <c r="P53" s="24"/>
      <c r="Q53" s="24"/>
      <c r="R53" s="24"/>
      <c r="S53" s="24"/>
      <c r="T53" s="24"/>
      <c r="U53" s="24"/>
      <c r="V53" s="24"/>
      <c r="W53" s="24"/>
      <c r="X53" s="24"/>
      <c r="Y53" s="24"/>
      <c r="Z53" s="24"/>
      <c r="AA53" s="88"/>
      <c r="AB53" s="88"/>
      <c r="AC53" s="88"/>
      <c r="AD53" s="88"/>
      <c r="AE53" s="88"/>
    </row>
    <row r="54" spans="1:31" ht="13.5" customHeight="1" x14ac:dyDescent="0.3">
      <c r="A54" s="1"/>
      <c r="B54" s="1"/>
      <c r="C54" s="1"/>
      <c r="D54" s="1"/>
      <c r="E54" s="1"/>
      <c r="F54" s="1"/>
      <c r="G54" s="1"/>
      <c r="H54" s="1"/>
      <c r="I54" s="1"/>
      <c r="J54" s="1"/>
      <c r="K54" s="1"/>
      <c r="L54" s="24"/>
      <c r="M54" s="24"/>
      <c r="N54" s="24"/>
      <c r="O54" s="24"/>
      <c r="P54" s="24"/>
      <c r="Q54" s="24"/>
      <c r="R54" s="24"/>
      <c r="S54" s="24"/>
      <c r="T54" s="24"/>
      <c r="U54" s="24"/>
      <c r="V54" s="24"/>
      <c r="W54" s="24"/>
      <c r="X54" s="24"/>
      <c r="Y54" s="24"/>
      <c r="Z54" s="24"/>
      <c r="AA54" s="88"/>
      <c r="AB54" s="88"/>
      <c r="AC54" s="88"/>
      <c r="AD54" s="88"/>
      <c r="AE54" s="88"/>
    </row>
    <row r="55" spans="1:31" ht="13.5" customHeight="1" x14ac:dyDescent="0.3">
      <c r="A55" s="1"/>
      <c r="B55" s="1"/>
      <c r="C55" s="1"/>
      <c r="D55" s="1"/>
      <c r="E55" s="1"/>
      <c r="F55" s="1"/>
      <c r="G55" s="1"/>
      <c r="H55" s="1"/>
      <c r="I55" s="1"/>
      <c r="J55" s="1"/>
      <c r="K55" s="1"/>
      <c r="L55" s="24"/>
      <c r="M55" s="24"/>
      <c r="N55" s="24"/>
      <c r="O55" s="24"/>
      <c r="P55" s="24"/>
      <c r="Q55" s="24"/>
      <c r="R55" s="24"/>
      <c r="S55" s="24"/>
      <c r="T55" s="24"/>
      <c r="U55" s="24"/>
      <c r="V55" s="24"/>
      <c r="W55" s="24"/>
      <c r="X55" s="24"/>
      <c r="Y55" s="24"/>
      <c r="Z55" s="24"/>
      <c r="AA55" s="88"/>
      <c r="AB55" s="88"/>
      <c r="AC55" s="88"/>
      <c r="AD55" s="88"/>
      <c r="AE55" s="88"/>
    </row>
    <row r="56" spans="1:31" ht="13.5" customHeight="1" x14ac:dyDescent="0.3">
      <c r="A56" s="1"/>
      <c r="B56" s="1"/>
      <c r="C56" s="1"/>
      <c r="D56" s="1"/>
      <c r="E56" s="1"/>
      <c r="F56" s="1"/>
      <c r="G56" s="1"/>
      <c r="H56" s="1"/>
      <c r="I56" s="1"/>
      <c r="J56" s="1"/>
      <c r="K56" s="1"/>
      <c r="L56" s="24"/>
      <c r="M56" s="24"/>
      <c r="N56" s="24"/>
      <c r="O56" s="24"/>
      <c r="P56" s="24"/>
      <c r="Q56" s="24"/>
      <c r="R56" s="24"/>
      <c r="S56" s="24"/>
      <c r="T56" s="24"/>
      <c r="U56" s="24"/>
      <c r="V56" s="24"/>
      <c r="W56" s="24"/>
      <c r="X56" s="24"/>
      <c r="Y56" s="24"/>
      <c r="Z56" s="24"/>
      <c r="AA56" s="88"/>
      <c r="AB56" s="88"/>
      <c r="AC56" s="88"/>
      <c r="AD56" s="88"/>
      <c r="AE56" s="88"/>
    </row>
    <row r="57" spans="1:31" ht="13.5" customHeight="1" x14ac:dyDescent="0.3">
      <c r="A57" s="1"/>
      <c r="B57" s="1"/>
      <c r="C57" s="1"/>
      <c r="D57" s="1"/>
      <c r="E57" s="1"/>
      <c r="F57" s="1"/>
      <c r="G57" s="1"/>
      <c r="H57" s="1"/>
      <c r="I57" s="1"/>
      <c r="J57" s="1"/>
      <c r="K57" s="1"/>
      <c r="L57" s="24"/>
      <c r="M57" s="24"/>
      <c r="N57" s="24"/>
      <c r="O57" s="24"/>
      <c r="P57" s="24"/>
      <c r="Q57" s="24"/>
      <c r="R57" s="24"/>
      <c r="S57" s="24"/>
      <c r="T57" s="24"/>
      <c r="U57" s="24"/>
      <c r="V57" s="24"/>
      <c r="W57" s="24"/>
      <c r="X57" s="24"/>
      <c r="Y57" s="24"/>
      <c r="Z57" s="24"/>
      <c r="AA57" s="88"/>
      <c r="AB57" s="88"/>
      <c r="AC57" s="88"/>
      <c r="AD57" s="88"/>
      <c r="AE57" s="88"/>
    </row>
    <row r="58" spans="1:31" ht="13.5" customHeight="1" x14ac:dyDescent="0.3">
      <c r="A58" s="1"/>
      <c r="B58" s="1"/>
      <c r="C58" s="1"/>
      <c r="D58" s="1"/>
      <c r="E58" s="1"/>
      <c r="F58" s="1"/>
      <c r="G58" s="1"/>
      <c r="H58" s="1"/>
      <c r="I58" s="1"/>
      <c r="J58" s="1"/>
      <c r="K58" s="1"/>
      <c r="L58" s="24"/>
      <c r="M58" s="24"/>
      <c r="N58" s="24"/>
      <c r="O58" s="24"/>
      <c r="P58" s="24"/>
      <c r="Q58" s="24"/>
      <c r="R58" s="24"/>
      <c r="S58" s="24"/>
      <c r="T58" s="24"/>
      <c r="U58" s="24"/>
      <c r="V58" s="24"/>
      <c r="W58" s="24"/>
      <c r="X58" s="24"/>
      <c r="Y58" s="24"/>
      <c r="Z58" s="24"/>
      <c r="AA58" s="88"/>
      <c r="AB58" s="88"/>
      <c r="AC58" s="88"/>
      <c r="AD58" s="88"/>
      <c r="AE58" s="88"/>
    </row>
    <row r="59" spans="1:31" ht="13.5" customHeight="1" x14ac:dyDescent="0.3">
      <c r="A59" s="1"/>
      <c r="B59" s="1"/>
      <c r="C59" s="1"/>
      <c r="D59" s="1"/>
      <c r="E59" s="1"/>
      <c r="F59" s="1"/>
      <c r="G59" s="1"/>
      <c r="H59" s="1"/>
      <c r="I59" s="1"/>
      <c r="J59" s="1"/>
      <c r="K59" s="1"/>
      <c r="L59" s="24"/>
      <c r="M59" s="24"/>
      <c r="N59" s="24"/>
      <c r="O59" s="24"/>
      <c r="P59" s="24"/>
      <c r="Q59" s="24"/>
      <c r="R59" s="24"/>
      <c r="S59" s="24"/>
      <c r="T59" s="24"/>
      <c r="U59" s="24"/>
      <c r="V59" s="24"/>
      <c r="W59" s="24"/>
      <c r="X59" s="24"/>
      <c r="Y59" s="24"/>
      <c r="Z59" s="24"/>
      <c r="AA59" s="88"/>
      <c r="AB59" s="88"/>
      <c r="AC59" s="88"/>
      <c r="AD59" s="88"/>
      <c r="AE59" s="88"/>
    </row>
    <row r="60" spans="1:31" ht="13.5" customHeight="1" x14ac:dyDescent="0.3">
      <c r="A60" s="1"/>
      <c r="B60" s="1"/>
      <c r="C60" s="1"/>
      <c r="D60" s="1"/>
      <c r="E60" s="1"/>
      <c r="F60" s="1"/>
      <c r="G60" s="1"/>
      <c r="H60" s="1"/>
      <c r="I60" s="1"/>
      <c r="J60" s="1"/>
      <c r="K60" s="1"/>
      <c r="L60" s="24"/>
      <c r="M60" s="24"/>
      <c r="N60" s="24"/>
      <c r="O60" s="24"/>
      <c r="P60" s="24"/>
      <c r="Q60" s="24"/>
      <c r="R60" s="24"/>
      <c r="S60" s="24"/>
      <c r="T60" s="24"/>
      <c r="U60" s="24"/>
      <c r="V60" s="24"/>
      <c r="W60" s="24"/>
      <c r="X60" s="24"/>
      <c r="Y60" s="24"/>
      <c r="Z60" s="24"/>
      <c r="AA60" s="88"/>
      <c r="AB60" s="88"/>
      <c r="AC60" s="88"/>
      <c r="AD60" s="88"/>
      <c r="AE60" s="88"/>
    </row>
    <row r="61" spans="1:31" ht="13.5" customHeight="1" x14ac:dyDescent="0.3">
      <c r="A61" s="1"/>
      <c r="B61" s="1"/>
      <c r="C61" s="1"/>
      <c r="D61" s="1"/>
      <c r="E61" s="1"/>
      <c r="F61" s="1"/>
      <c r="G61" s="1"/>
      <c r="H61" s="1"/>
      <c r="I61" s="1"/>
      <c r="J61" s="1"/>
      <c r="K61" s="1"/>
      <c r="L61" s="24"/>
      <c r="M61" s="24"/>
      <c r="N61" s="24"/>
      <c r="O61" s="24"/>
      <c r="P61" s="24"/>
      <c r="Q61" s="24"/>
      <c r="R61" s="24"/>
      <c r="S61" s="24"/>
      <c r="T61" s="24"/>
      <c r="U61" s="24"/>
      <c r="V61" s="24"/>
      <c r="W61" s="24"/>
      <c r="X61" s="24"/>
      <c r="Y61" s="24"/>
      <c r="Z61" s="24"/>
      <c r="AA61" s="88"/>
      <c r="AB61" s="88"/>
      <c r="AC61" s="88"/>
      <c r="AD61" s="88"/>
      <c r="AE61" s="88"/>
    </row>
    <row r="62" spans="1:31" ht="13.5" customHeight="1" x14ac:dyDescent="0.3">
      <c r="A62" s="1"/>
      <c r="B62" s="1"/>
      <c r="C62" s="1"/>
      <c r="D62" s="1"/>
      <c r="E62" s="1"/>
      <c r="F62" s="1"/>
      <c r="G62" s="1"/>
      <c r="H62" s="1"/>
      <c r="I62" s="1"/>
      <c r="J62" s="1"/>
      <c r="K62" s="1"/>
      <c r="L62" s="24"/>
      <c r="M62" s="24"/>
      <c r="N62" s="24"/>
      <c r="O62" s="24"/>
      <c r="P62" s="24"/>
      <c r="Q62" s="24"/>
      <c r="R62" s="24"/>
      <c r="S62" s="24"/>
      <c r="T62" s="24"/>
      <c r="U62" s="24"/>
      <c r="V62" s="24"/>
      <c r="W62" s="24"/>
      <c r="X62" s="24"/>
      <c r="Y62" s="24"/>
      <c r="Z62" s="24"/>
      <c r="AA62" s="88"/>
      <c r="AB62" s="88"/>
      <c r="AC62" s="88"/>
      <c r="AD62" s="88"/>
      <c r="AE62" s="88"/>
    </row>
    <row r="63" spans="1:31" ht="13.5" customHeight="1" x14ac:dyDescent="0.3">
      <c r="A63" s="1"/>
      <c r="B63" s="1"/>
      <c r="C63" s="1"/>
      <c r="D63" s="1"/>
      <c r="E63" s="1"/>
      <c r="F63" s="1"/>
      <c r="G63" s="1"/>
      <c r="H63" s="1"/>
      <c r="I63" s="1"/>
      <c r="J63" s="1"/>
      <c r="K63" s="1"/>
      <c r="L63" s="24"/>
      <c r="M63" s="24"/>
      <c r="N63" s="24"/>
      <c r="O63" s="24"/>
      <c r="P63" s="24"/>
      <c r="Q63" s="24"/>
      <c r="R63" s="24"/>
      <c r="S63" s="24"/>
      <c r="T63" s="24"/>
      <c r="U63" s="24"/>
      <c r="V63" s="24"/>
      <c r="W63" s="24"/>
      <c r="X63" s="24"/>
      <c r="Y63" s="24"/>
      <c r="Z63" s="24"/>
      <c r="AA63" s="88"/>
      <c r="AB63" s="88"/>
      <c r="AC63" s="88"/>
      <c r="AD63" s="88"/>
      <c r="AE63" s="88"/>
    </row>
    <row r="64" spans="1:31" ht="13.5" customHeight="1" x14ac:dyDescent="0.3">
      <c r="A64" s="1"/>
      <c r="B64" s="1"/>
      <c r="C64" s="1"/>
      <c r="D64" s="1"/>
      <c r="E64" s="1"/>
      <c r="F64" s="1"/>
      <c r="G64" s="1"/>
      <c r="H64" s="1"/>
      <c r="I64" s="1"/>
      <c r="J64" s="1"/>
      <c r="K64" s="1"/>
      <c r="L64" s="24"/>
      <c r="M64" s="24"/>
      <c r="N64" s="24"/>
      <c r="O64" s="24"/>
      <c r="P64" s="24"/>
      <c r="Q64" s="24"/>
      <c r="R64" s="24"/>
      <c r="S64" s="24"/>
      <c r="T64" s="24"/>
      <c r="U64" s="24"/>
      <c r="V64" s="24"/>
      <c r="W64" s="24"/>
      <c r="X64" s="24"/>
      <c r="Y64" s="24"/>
      <c r="Z64" s="24"/>
      <c r="AA64" s="88"/>
      <c r="AB64" s="88"/>
      <c r="AC64" s="88"/>
      <c r="AD64" s="88"/>
      <c r="AE64" s="88"/>
    </row>
    <row r="65" spans="1:31" ht="13.5" customHeight="1" x14ac:dyDescent="0.3">
      <c r="A65" s="1"/>
      <c r="B65" s="1"/>
      <c r="C65" s="1"/>
      <c r="D65" s="1"/>
      <c r="E65" s="1"/>
      <c r="F65" s="1"/>
      <c r="G65" s="1"/>
      <c r="H65" s="1"/>
      <c r="I65" s="1"/>
      <c r="J65" s="1"/>
      <c r="K65" s="1"/>
      <c r="L65" s="24"/>
      <c r="M65" s="24"/>
      <c r="N65" s="24"/>
      <c r="O65" s="24"/>
      <c r="P65" s="24"/>
      <c r="Q65" s="24"/>
      <c r="R65" s="24"/>
      <c r="S65" s="24"/>
      <c r="T65" s="24"/>
      <c r="U65" s="24"/>
      <c r="V65" s="24"/>
      <c r="W65" s="24"/>
      <c r="X65" s="24"/>
      <c r="Y65" s="24"/>
      <c r="Z65" s="24"/>
      <c r="AA65" s="88"/>
      <c r="AB65" s="88"/>
      <c r="AC65" s="88"/>
      <c r="AD65" s="88"/>
      <c r="AE65" s="88"/>
    </row>
    <row r="66" spans="1:31" ht="13.5" customHeight="1" x14ac:dyDescent="0.3">
      <c r="A66" s="1"/>
      <c r="B66" s="1"/>
      <c r="C66" s="1"/>
      <c r="D66" s="1"/>
      <c r="E66" s="1"/>
      <c r="F66" s="1"/>
      <c r="G66" s="1"/>
      <c r="H66" s="1"/>
      <c r="I66" s="1"/>
      <c r="J66" s="1"/>
      <c r="K66" s="1"/>
      <c r="L66" s="24"/>
      <c r="M66" s="24"/>
      <c r="N66" s="24"/>
      <c r="O66" s="24"/>
      <c r="P66" s="24"/>
      <c r="Q66" s="24"/>
      <c r="R66" s="24"/>
      <c r="S66" s="24"/>
      <c r="T66" s="24"/>
      <c r="U66" s="24"/>
      <c r="V66" s="24"/>
      <c r="W66" s="24"/>
      <c r="X66" s="24"/>
      <c r="Y66" s="24"/>
      <c r="Z66" s="24"/>
      <c r="AA66" s="88"/>
      <c r="AB66" s="88"/>
      <c r="AC66" s="88"/>
      <c r="AD66" s="88"/>
      <c r="AE66" s="88"/>
    </row>
    <row r="67" spans="1:31" ht="13.5" customHeight="1" x14ac:dyDescent="0.3">
      <c r="A67" s="1"/>
      <c r="B67" s="1"/>
      <c r="C67" s="1"/>
      <c r="D67" s="1"/>
      <c r="E67" s="1"/>
      <c r="F67" s="1"/>
      <c r="G67" s="1"/>
      <c r="H67" s="1"/>
      <c r="I67" s="1"/>
      <c r="J67" s="1"/>
      <c r="K67" s="1"/>
      <c r="L67" s="24"/>
      <c r="M67" s="24"/>
      <c r="N67" s="24"/>
      <c r="O67" s="24"/>
      <c r="P67" s="24"/>
      <c r="Q67" s="24"/>
      <c r="R67" s="24"/>
      <c r="S67" s="24"/>
      <c r="T67" s="24"/>
      <c r="U67" s="24"/>
      <c r="V67" s="24"/>
      <c r="W67" s="24"/>
      <c r="X67" s="24"/>
      <c r="Y67" s="24"/>
      <c r="Z67" s="24"/>
      <c r="AA67" s="88"/>
      <c r="AB67" s="88"/>
      <c r="AC67" s="88"/>
      <c r="AD67" s="88"/>
      <c r="AE67" s="88"/>
    </row>
    <row r="68" spans="1:31" ht="13.5" customHeight="1" x14ac:dyDescent="0.3">
      <c r="A68" s="1"/>
      <c r="B68" s="1"/>
      <c r="C68" s="1"/>
      <c r="D68" s="1"/>
      <c r="E68" s="1"/>
      <c r="F68" s="1"/>
      <c r="G68" s="1"/>
      <c r="H68" s="1"/>
      <c r="I68" s="1"/>
      <c r="J68" s="1"/>
      <c r="K68" s="1"/>
      <c r="L68" s="24"/>
      <c r="M68" s="24"/>
      <c r="N68" s="24"/>
      <c r="O68" s="24"/>
      <c r="P68" s="24"/>
      <c r="Q68" s="24"/>
      <c r="R68" s="24"/>
      <c r="S68" s="24"/>
      <c r="T68" s="24"/>
      <c r="U68" s="24"/>
      <c r="V68" s="24"/>
      <c r="W68" s="24"/>
      <c r="X68" s="24"/>
      <c r="Y68" s="24"/>
      <c r="Z68" s="24"/>
      <c r="AA68" s="88"/>
      <c r="AB68" s="88"/>
      <c r="AC68" s="88"/>
      <c r="AD68" s="88"/>
      <c r="AE68" s="88"/>
    </row>
    <row r="69" spans="1:31" ht="13.5" customHeight="1" x14ac:dyDescent="0.3">
      <c r="A69" s="1"/>
      <c r="B69" s="1"/>
      <c r="C69" s="1"/>
      <c r="D69" s="1"/>
      <c r="E69" s="1"/>
      <c r="F69" s="1"/>
      <c r="G69" s="1"/>
      <c r="H69" s="1"/>
      <c r="I69" s="1"/>
      <c r="J69" s="1"/>
      <c r="K69" s="1"/>
      <c r="L69" s="24"/>
      <c r="M69" s="24"/>
      <c r="N69" s="24"/>
      <c r="O69" s="24"/>
      <c r="P69" s="24"/>
      <c r="Q69" s="24"/>
      <c r="R69" s="24"/>
      <c r="S69" s="24"/>
      <c r="T69" s="24"/>
      <c r="U69" s="24"/>
      <c r="V69" s="24"/>
      <c r="W69" s="24"/>
      <c r="X69" s="24"/>
      <c r="Y69" s="24"/>
      <c r="Z69" s="24"/>
      <c r="AA69" s="88"/>
      <c r="AB69" s="88"/>
      <c r="AC69" s="88"/>
      <c r="AD69" s="88"/>
      <c r="AE69" s="88"/>
    </row>
    <row r="70" spans="1:31" ht="13.5" customHeight="1" x14ac:dyDescent="0.3">
      <c r="A70" s="1"/>
      <c r="B70" s="1"/>
      <c r="C70" s="1"/>
      <c r="D70" s="1"/>
      <c r="E70" s="1"/>
      <c r="F70" s="1"/>
      <c r="G70" s="1"/>
      <c r="H70" s="1"/>
      <c r="I70" s="1"/>
      <c r="J70" s="1"/>
      <c r="K70" s="1"/>
      <c r="L70" s="24"/>
      <c r="M70" s="24"/>
      <c r="N70" s="24"/>
      <c r="O70" s="24"/>
      <c r="P70" s="24"/>
      <c r="Q70" s="24"/>
      <c r="R70" s="24"/>
      <c r="S70" s="24"/>
      <c r="T70" s="24"/>
      <c r="U70" s="24"/>
      <c r="V70" s="24"/>
      <c r="W70" s="24"/>
      <c r="X70" s="24"/>
      <c r="Y70" s="24"/>
      <c r="Z70" s="24"/>
      <c r="AA70" s="88"/>
      <c r="AB70" s="88"/>
      <c r="AC70" s="88"/>
      <c r="AD70" s="88"/>
      <c r="AE70" s="88"/>
    </row>
    <row r="71" spans="1:31" ht="13.5" customHeight="1" x14ac:dyDescent="0.3">
      <c r="A71" s="1"/>
      <c r="B71" s="1"/>
      <c r="C71" s="1"/>
      <c r="D71" s="1"/>
      <c r="E71" s="1"/>
      <c r="F71" s="1"/>
      <c r="G71" s="1"/>
      <c r="H71" s="1"/>
      <c r="I71" s="1"/>
      <c r="J71" s="1"/>
      <c r="K71" s="1"/>
      <c r="L71" s="24"/>
      <c r="M71" s="24"/>
      <c r="N71" s="24"/>
      <c r="O71" s="24"/>
      <c r="P71" s="24"/>
      <c r="Q71" s="24"/>
      <c r="R71" s="24"/>
      <c r="S71" s="24"/>
      <c r="T71" s="24"/>
      <c r="U71" s="24"/>
      <c r="V71" s="24"/>
      <c r="W71" s="24"/>
      <c r="X71" s="24"/>
      <c r="Y71" s="24"/>
      <c r="Z71" s="24"/>
      <c r="AA71" s="88"/>
      <c r="AB71" s="88"/>
      <c r="AC71" s="88"/>
      <c r="AD71" s="88"/>
      <c r="AE71" s="88"/>
    </row>
    <row r="72" spans="1:31" ht="13.5" customHeight="1" x14ac:dyDescent="0.3">
      <c r="A72" s="1"/>
      <c r="B72" s="1"/>
      <c r="C72" s="1"/>
      <c r="D72" s="1"/>
      <c r="E72" s="1"/>
      <c r="F72" s="1"/>
      <c r="G72" s="1"/>
      <c r="H72" s="1"/>
      <c r="I72" s="1"/>
      <c r="J72" s="1"/>
      <c r="K72" s="1"/>
      <c r="L72" s="24"/>
      <c r="M72" s="24"/>
      <c r="N72" s="24"/>
      <c r="O72" s="24"/>
      <c r="P72" s="24"/>
      <c r="Q72" s="24"/>
      <c r="R72" s="24"/>
      <c r="S72" s="24"/>
      <c r="T72" s="24"/>
      <c r="U72" s="24"/>
      <c r="V72" s="24"/>
      <c r="W72" s="24"/>
      <c r="X72" s="24"/>
      <c r="Y72" s="24"/>
      <c r="Z72" s="24"/>
      <c r="AA72" s="88"/>
      <c r="AB72" s="88"/>
      <c r="AC72" s="88"/>
      <c r="AD72" s="88"/>
      <c r="AE72" s="88"/>
    </row>
    <row r="73" spans="1:31" ht="13.5" customHeight="1" x14ac:dyDescent="0.3">
      <c r="A73" s="1"/>
      <c r="B73" s="1"/>
      <c r="C73" s="1"/>
      <c r="D73" s="1"/>
      <c r="E73" s="1"/>
      <c r="F73" s="1"/>
      <c r="G73" s="1"/>
      <c r="H73" s="1"/>
      <c r="I73" s="1"/>
      <c r="J73" s="1"/>
      <c r="K73" s="1"/>
      <c r="L73" s="24"/>
      <c r="M73" s="24"/>
      <c r="N73" s="24"/>
      <c r="O73" s="24"/>
      <c r="P73" s="24"/>
      <c r="Q73" s="24"/>
      <c r="R73" s="24"/>
      <c r="S73" s="24"/>
      <c r="T73" s="24"/>
      <c r="U73" s="24"/>
      <c r="V73" s="24"/>
      <c r="W73" s="24"/>
      <c r="X73" s="24"/>
      <c r="Y73" s="24"/>
      <c r="Z73" s="24"/>
      <c r="AA73" s="88"/>
      <c r="AB73" s="88"/>
      <c r="AC73" s="88"/>
      <c r="AD73" s="88"/>
      <c r="AE73" s="88"/>
    </row>
    <row r="74" spans="1:31" ht="13.5" customHeight="1" x14ac:dyDescent="0.3">
      <c r="A74" s="1"/>
      <c r="B74" s="1"/>
      <c r="C74" s="1"/>
      <c r="D74" s="1"/>
      <c r="E74" s="1"/>
      <c r="F74" s="1"/>
      <c r="G74" s="1"/>
      <c r="H74" s="1"/>
      <c r="I74" s="1"/>
      <c r="J74" s="1"/>
      <c r="K74" s="1"/>
      <c r="L74" s="24"/>
      <c r="M74" s="24"/>
      <c r="N74" s="24"/>
      <c r="O74" s="24"/>
      <c r="P74" s="24"/>
      <c r="Q74" s="24"/>
      <c r="R74" s="24"/>
      <c r="S74" s="24"/>
      <c r="T74" s="24"/>
      <c r="U74" s="24"/>
      <c r="V74" s="24"/>
      <c r="W74" s="24"/>
      <c r="X74" s="24"/>
      <c r="Y74" s="24"/>
      <c r="Z74" s="24"/>
      <c r="AA74" s="88"/>
      <c r="AB74" s="88"/>
      <c r="AC74" s="88"/>
      <c r="AD74" s="88"/>
      <c r="AE74" s="88"/>
    </row>
    <row r="75" spans="1:31" ht="13.5" customHeight="1" x14ac:dyDescent="0.3">
      <c r="A75" s="1"/>
      <c r="B75" s="1"/>
      <c r="C75" s="1"/>
      <c r="D75" s="1"/>
      <c r="E75" s="1"/>
      <c r="F75" s="1"/>
      <c r="G75" s="1"/>
      <c r="H75" s="1"/>
      <c r="I75" s="1"/>
      <c r="J75" s="1"/>
      <c r="K75" s="1"/>
      <c r="L75" s="24"/>
      <c r="M75" s="24"/>
      <c r="N75" s="24"/>
      <c r="O75" s="24"/>
      <c r="P75" s="24"/>
      <c r="Q75" s="24"/>
      <c r="R75" s="24"/>
      <c r="S75" s="24"/>
      <c r="T75" s="24"/>
      <c r="U75" s="24"/>
      <c r="V75" s="24"/>
      <c r="W75" s="24"/>
      <c r="X75" s="24"/>
      <c r="Y75" s="24"/>
      <c r="Z75" s="24"/>
      <c r="AA75" s="88"/>
      <c r="AB75" s="88"/>
      <c r="AC75" s="88"/>
      <c r="AD75" s="88"/>
      <c r="AE75" s="88"/>
    </row>
    <row r="76" spans="1:31" ht="13.5" customHeight="1" x14ac:dyDescent="0.3">
      <c r="A76" s="1"/>
      <c r="B76" s="1"/>
      <c r="C76" s="1"/>
      <c r="D76" s="1"/>
      <c r="E76" s="1"/>
      <c r="F76" s="1"/>
      <c r="G76" s="1"/>
      <c r="H76" s="1"/>
      <c r="I76" s="1"/>
      <c r="J76" s="1"/>
      <c r="K76" s="1"/>
      <c r="L76" s="24"/>
      <c r="M76" s="24"/>
      <c r="N76" s="24"/>
      <c r="O76" s="24"/>
      <c r="P76" s="24"/>
      <c r="Q76" s="24"/>
      <c r="R76" s="24"/>
      <c r="S76" s="24"/>
      <c r="T76" s="24"/>
      <c r="U76" s="24"/>
      <c r="V76" s="24"/>
      <c r="W76" s="24"/>
      <c r="X76" s="24"/>
      <c r="Y76" s="24"/>
      <c r="Z76" s="24"/>
      <c r="AA76" s="88"/>
      <c r="AB76" s="88"/>
      <c r="AC76" s="88"/>
      <c r="AD76" s="88"/>
      <c r="AE76" s="88"/>
    </row>
    <row r="77" spans="1:31" ht="13.5" customHeight="1" x14ac:dyDescent="0.3">
      <c r="A77" s="1"/>
      <c r="B77" s="1"/>
      <c r="C77" s="1"/>
      <c r="D77" s="1"/>
      <c r="E77" s="1"/>
      <c r="F77" s="1"/>
      <c r="G77" s="1"/>
      <c r="H77" s="1"/>
      <c r="I77" s="1"/>
      <c r="J77" s="1"/>
      <c r="K77" s="1"/>
      <c r="L77" s="24"/>
      <c r="M77" s="24"/>
      <c r="N77" s="24"/>
      <c r="O77" s="24"/>
      <c r="P77" s="24"/>
      <c r="Q77" s="24"/>
      <c r="R77" s="24"/>
      <c r="S77" s="24"/>
      <c r="T77" s="24"/>
      <c r="U77" s="24"/>
      <c r="V77" s="24"/>
      <c r="W77" s="24"/>
      <c r="X77" s="24"/>
      <c r="Y77" s="24"/>
      <c r="Z77" s="24"/>
      <c r="AA77" s="88"/>
      <c r="AB77" s="88"/>
      <c r="AC77" s="88"/>
      <c r="AD77" s="88"/>
      <c r="AE77" s="88"/>
    </row>
    <row r="78" spans="1:31" ht="13.5" customHeight="1" x14ac:dyDescent="0.3">
      <c r="A78" s="1"/>
      <c r="B78" s="1"/>
      <c r="C78" s="1"/>
      <c r="D78" s="1"/>
      <c r="E78" s="1"/>
      <c r="F78" s="1"/>
      <c r="G78" s="1"/>
      <c r="H78" s="1"/>
      <c r="I78" s="1"/>
      <c r="J78" s="1"/>
      <c r="K78" s="1"/>
      <c r="L78" s="24"/>
      <c r="M78" s="24"/>
      <c r="N78" s="24"/>
      <c r="O78" s="24"/>
      <c r="P78" s="24"/>
      <c r="Q78" s="24"/>
      <c r="R78" s="24"/>
      <c r="S78" s="24"/>
      <c r="T78" s="24"/>
      <c r="U78" s="24"/>
      <c r="V78" s="24"/>
      <c r="W78" s="24"/>
      <c r="X78" s="24"/>
      <c r="Y78" s="24"/>
      <c r="Z78" s="24"/>
      <c r="AA78" s="88"/>
      <c r="AB78" s="88"/>
      <c r="AC78" s="88"/>
      <c r="AD78" s="88"/>
      <c r="AE78" s="88"/>
    </row>
    <row r="79" spans="1:31" ht="13.5" customHeight="1" x14ac:dyDescent="0.3">
      <c r="A79" s="1"/>
      <c r="B79" s="1"/>
      <c r="C79" s="1"/>
      <c r="D79" s="1"/>
      <c r="E79" s="1"/>
      <c r="F79" s="1"/>
      <c r="G79" s="1"/>
      <c r="H79" s="1"/>
      <c r="I79" s="1"/>
      <c r="J79" s="1"/>
      <c r="K79" s="1"/>
      <c r="L79" s="24"/>
      <c r="M79" s="24"/>
      <c r="N79" s="24"/>
      <c r="O79" s="24"/>
      <c r="P79" s="24"/>
      <c r="Q79" s="24"/>
      <c r="R79" s="24"/>
      <c r="S79" s="24"/>
      <c r="T79" s="24"/>
      <c r="U79" s="24"/>
      <c r="V79" s="24"/>
      <c r="W79" s="24"/>
      <c r="X79" s="24"/>
      <c r="Y79" s="24"/>
      <c r="Z79" s="24"/>
      <c r="AA79" s="88"/>
      <c r="AB79" s="88"/>
      <c r="AC79" s="88"/>
      <c r="AD79" s="88"/>
      <c r="AE79" s="88"/>
    </row>
    <row r="80" spans="1:31" ht="13.5" customHeight="1" x14ac:dyDescent="0.3">
      <c r="A80" s="1"/>
      <c r="B80" s="1"/>
      <c r="C80" s="1"/>
      <c r="D80" s="1"/>
      <c r="E80" s="1"/>
      <c r="F80" s="1"/>
      <c r="G80" s="1"/>
      <c r="H80" s="1"/>
      <c r="I80" s="1"/>
      <c r="J80" s="1"/>
      <c r="K80" s="1"/>
      <c r="L80" s="24"/>
      <c r="M80" s="24"/>
      <c r="N80" s="24"/>
      <c r="O80" s="24"/>
      <c r="P80" s="24"/>
      <c r="Q80" s="24"/>
      <c r="R80" s="24"/>
      <c r="S80" s="24"/>
      <c r="T80" s="24"/>
      <c r="U80" s="24"/>
      <c r="V80" s="24"/>
      <c r="W80" s="24"/>
      <c r="X80" s="24"/>
      <c r="Y80" s="24"/>
      <c r="Z80" s="24"/>
      <c r="AA80" s="88"/>
      <c r="AB80" s="88"/>
      <c r="AC80" s="88"/>
      <c r="AD80" s="88"/>
      <c r="AE80" s="88"/>
    </row>
    <row r="81" spans="1:31" ht="13.5" customHeight="1" x14ac:dyDescent="0.3">
      <c r="A81" s="1"/>
      <c r="B81" s="1"/>
      <c r="C81" s="1"/>
      <c r="D81" s="1"/>
      <c r="E81" s="1"/>
      <c r="F81" s="1"/>
      <c r="G81" s="1"/>
      <c r="H81" s="1"/>
      <c r="I81" s="1"/>
      <c r="J81" s="1"/>
      <c r="K81" s="1"/>
      <c r="L81" s="24"/>
      <c r="M81" s="24"/>
      <c r="N81" s="24"/>
      <c r="O81" s="24"/>
      <c r="P81" s="24"/>
      <c r="Q81" s="24"/>
      <c r="R81" s="24"/>
      <c r="S81" s="24"/>
      <c r="T81" s="24"/>
      <c r="U81" s="24"/>
      <c r="V81" s="24"/>
      <c r="W81" s="24"/>
      <c r="X81" s="24"/>
      <c r="Y81" s="24"/>
      <c r="Z81" s="24"/>
      <c r="AA81" s="88"/>
      <c r="AB81" s="88"/>
      <c r="AC81" s="88"/>
      <c r="AD81" s="88"/>
      <c r="AE81" s="88"/>
    </row>
    <row r="82" spans="1:31" ht="13.5" customHeight="1" x14ac:dyDescent="0.3">
      <c r="A82" s="1"/>
      <c r="B82" s="1"/>
      <c r="C82" s="1"/>
      <c r="D82" s="1"/>
      <c r="E82" s="1"/>
      <c r="F82" s="1"/>
      <c r="G82" s="1"/>
      <c r="H82" s="1"/>
      <c r="I82" s="1"/>
      <c r="J82" s="1"/>
      <c r="K82" s="1"/>
      <c r="L82" s="24"/>
      <c r="M82" s="24"/>
      <c r="N82" s="24"/>
      <c r="O82" s="24"/>
      <c r="P82" s="24"/>
      <c r="Q82" s="24"/>
      <c r="R82" s="24"/>
      <c r="S82" s="24"/>
      <c r="T82" s="24"/>
      <c r="U82" s="24"/>
      <c r="V82" s="24"/>
      <c r="W82" s="24"/>
      <c r="X82" s="24"/>
      <c r="Y82" s="24"/>
      <c r="Z82" s="24"/>
      <c r="AA82" s="88"/>
      <c r="AB82" s="88"/>
      <c r="AC82" s="88"/>
      <c r="AD82" s="88"/>
      <c r="AE82" s="88"/>
    </row>
    <row r="83" spans="1:31" ht="13.5" customHeight="1" x14ac:dyDescent="0.3">
      <c r="A83" s="1"/>
      <c r="B83" s="1"/>
      <c r="C83" s="1"/>
      <c r="D83" s="1"/>
      <c r="E83" s="1"/>
      <c r="F83" s="1"/>
      <c r="G83" s="1"/>
      <c r="H83" s="1"/>
      <c r="I83" s="1"/>
      <c r="J83" s="1"/>
      <c r="K83" s="1"/>
      <c r="L83" s="24"/>
      <c r="M83" s="24"/>
      <c r="N83" s="24"/>
      <c r="O83" s="24"/>
      <c r="P83" s="24"/>
      <c r="Q83" s="24"/>
      <c r="R83" s="24"/>
      <c r="S83" s="24"/>
      <c r="T83" s="24"/>
      <c r="U83" s="24"/>
      <c r="V83" s="24"/>
      <c r="W83" s="24"/>
      <c r="X83" s="24"/>
      <c r="Y83" s="24"/>
      <c r="Z83" s="24"/>
      <c r="AA83" s="88"/>
      <c r="AB83" s="88"/>
      <c r="AC83" s="88"/>
      <c r="AD83" s="88"/>
      <c r="AE83" s="88"/>
    </row>
    <row r="84" spans="1:31" ht="13.5" customHeight="1" x14ac:dyDescent="0.3">
      <c r="A84" s="1"/>
      <c r="B84" s="1"/>
      <c r="C84" s="1"/>
      <c r="D84" s="1"/>
      <c r="E84" s="1"/>
      <c r="F84" s="1"/>
      <c r="G84" s="1"/>
      <c r="H84" s="1"/>
      <c r="I84" s="1"/>
      <c r="J84" s="1"/>
      <c r="K84" s="1"/>
      <c r="L84" s="24"/>
      <c r="M84" s="24"/>
      <c r="N84" s="24"/>
      <c r="O84" s="24"/>
      <c r="P84" s="24"/>
      <c r="Q84" s="24"/>
      <c r="R84" s="24"/>
      <c r="S84" s="24"/>
      <c r="T84" s="24"/>
      <c r="U84" s="24"/>
      <c r="V84" s="24"/>
      <c r="W84" s="24"/>
      <c r="X84" s="24"/>
      <c r="Y84" s="24"/>
      <c r="Z84" s="24"/>
      <c r="AA84" s="88"/>
      <c r="AB84" s="88"/>
      <c r="AC84" s="88"/>
      <c r="AD84" s="88"/>
      <c r="AE84" s="88"/>
    </row>
    <row r="85" spans="1:31" ht="13.5" customHeight="1" x14ac:dyDescent="0.3">
      <c r="A85" s="1"/>
      <c r="B85" s="1"/>
      <c r="C85" s="1"/>
      <c r="D85" s="1"/>
      <c r="E85" s="1"/>
      <c r="F85" s="1"/>
      <c r="G85" s="1"/>
      <c r="H85" s="1"/>
      <c r="I85" s="1"/>
      <c r="J85" s="1"/>
      <c r="K85" s="1"/>
      <c r="L85" s="24"/>
      <c r="M85" s="24"/>
      <c r="N85" s="24"/>
      <c r="O85" s="24"/>
      <c r="P85" s="24"/>
      <c r="Q85" s="24"/>
      <c r="R85" s="24"/>
      <c r="S85" s="24"/>
      <c r="T85" s="24"/>
      <c r="U85" s="24"/>
      <c r="V85" s="24"/>
      <c r="W85" s="24"/>
      <c r="X85" s="24"/>
      <c r="Y85" s="24"/>
      <c r="Z85" s="24"/>
      <c r="AA85" s="88"/>
      <c r="AB85" s="88"/>
      <c r="AC85" s="88"/>
      <c r="AD85" s="88"/>
      <c r="AE85" s="88"/>
    </row>
    <row r="86" spans="1:31" ht="13.5" customHeight="1" x14ac:dyDescent="0.3">
      <c r="A86" s="1"/>
      <c r="B86" s="1"/>
      <c r="C86" s="1"/>
      <c r="D86" s="1"/>
      <c r="E86" s="1"/>
      <c r="F86" s="1"/>
      <c r="G86" s="1"/>
      <c r="H86" s="1"/>
      <c r="I86" s="1"/>
      <c r="J86" s="1"/>
      <c r="K86" s="1"/>
      <c r="L86" s="24"/>
      <c r="M86" s="24"/>
      <c r="N86" s="24"/>
      <c r="O86" s="24"/>
      <c r="P86" s="24"/>
      <c r="Q86" s="24"/>
      <c r="R86" s="24"/>
      <c r="S86" s="24"/>
      <c r="T86" s="24"/>
      <c r="U86" s="24"/>
      <c r="V86" s="24"/>
      <c r="W86" s="24"/>
      <c r="X86" s="24"/>
      <c r="Y86" s="24"/>
      <c r="Z86" s="24"/>
      <c r="AA86" s="88"/>
      <c r="AB86" s="88"/>
      <c r="AC86" s="88"/>
      <c r="AD86" s="88"/>
      <c r="AE86" s="88"/>
    </row>
    <row r="87" spans="1:31" ht="13.5" customHeight="1" x14ac:dyDescent="0.3">
      <c r="A87" s="1"/>
      <c r="B87" s="1"/>
      <c r="C87" s="1"/>
      <c r="D87" s="1"/>
      <c r="E87" s="1"/>
      <c r="F87" s="1"/>
      <c r="G87" s="1"/>
      <c r="H87" s="1"/>
      <c r="I87" s="1"/>
      <c r="J87" s="1"/>
      <c r="K87" s="1"/>
      <c r="L87" s="24"/>
      <c r="M87" s="24"/>
      <c r="N87" s="24"/>
      <c r="O87" s="24"/>
      <c r="P87" s="24"/>
      <c r="Q87" s="24"/>
      <c r="R87" s="24"/>
      <c r="S87" s="24"/>
      <c r="T87" s="24"/>
      <c r="U87" s="24"/>
      <c r="V87" s="24"/>
      <c r="W87" s="24"/>
      <c r="X87" s="24"/>
      <c r="Y87" s="24"/>
      <c r="Z87" s="24"/>
      <c r="AA87" s="88"/>
      <c r="AB87" s="88"/>
      <c r="AC87" s="88"/>
      <c r="AD87" s="88"/>
      <c r="AE87" s="88"/>
    </row>
    <row r="88" spans="1:31" ht="13.5" customHeight="1" x14ac:dyDescent="0.3">
      <c r="A88" s="1"/>
      <c r="B88" s="1"/>
      <c r="C88" s="1"/>
      <c r="D88" s="1"/>
      <c r="E88" s="1"/>
      <c r="F88" s="1"/>
      <c r="G88" s="1"/>
      <c r="H88" s="1"/>
      <c r="I88" s="1"/>
      <c r="J88" s="1"/>
      <c r="K88" s="1"/>
      <c r="L88" s="24"/>
      <c r="M88" s="24"/>
      <c r="N88" s="24"/>
      <c r="O88" s="24"/>
      <c r="P88" s="24"/>
      <c r="Q88" s="24"/>
      <c r="R88" s="24"/>
      <c r="S88" s="24"/>
      <c r="T88" s="24"/>
      <c r="U88" s="24"/>
      <c r="V88" s="24"/>
      <c r="W88" s="24"/>
      <c r="X88" s="24"/>
      <c r="Y88" s="24"/>
      <c r="Z88" s="24"/>
      <c r="AA88" s="88"/>
      <c r="AB88" s="88"/>
      <c r="AC88" s="88"/>
      <c r="AD88" s="88"/>
      <c r="AE88" s="88"/>
    </row>
    <row r="89" spans="1:31" ht="13.5" customHeight="1" x14ac:dyDescent="0.3">
      <c r="A89" s="1"/>
      <c r="B89" s="1"/>
      <c r="C89" s="1"/>
      <c r="D89" s="1"/>
      <c r="E89" s="1"/>
      <c r="F89" s="1"/>
      <c r="G89" s="1"/>
      <c r="H89" s="1"/>
      <c r="I89" s="1"/>
      <c r="J89" s="1"/>
      <c r="K89" s="1"/>
      <c r="L89" s="24"/>
      <c r="M89" s="24"/>
      <c r="N89" s="24"/>
      <c r="O89" s="24"/>
      <c r="P89" s="24"/>
      <c r="Q89" s="24"/>
      <c r="R89" s="24"/>
      <c r="S89" s="24"/>
      <c r="T89" s="24"/>
      <c r="U89" s="24"/>
      <c r="V89" s="24"/>
      <c r="W89" s="24"/>
      <c r="X89" s="24"/>
      <c r="Y89" s="24"/>
      <c r="Z89" s="24"/>
      <c r="AA89" s="88"/>
      <c r="AB89" s="88"/>
      <c r="AC89" s="88"/>
      <c r="AD89" s="88"/>
      <c r="AE89" s="88"/>
    </row>
    <row r="90" spans="1:31" ht="13.5" customHeight="1" x14ac:dyDescent="0.3">
      <c r="A90" s="1"/>
      <c r="B90" s="1"/>
      <c r="C90" s="1"/>
      <c r="D90" s="1"/>
      <c r="E90" s="1"/>
      <c r="F90" s="1"/>
      <c r="G90" s="1"/>
      <c r="H90" s="1"/>
      <c r="I90" s="1"/>
      <c r="J90" s="1"/>
      <c r="K90" s="1"/>
      <c r="L90" s="24"/>
      <c r="M90" s="24"/>
      <c r="N90" s="24"/>
      <c r="O90" s="24"/>
      <c r="P90" s="24"/>
      <c r="Q90" s="24"/>
      <c r="R90" s="24"/>
      <c r="S90" s="24"/>
      <c r="T90" s="24"/>
      <c r="U90" s="24"/>
      <c r="V90" s="24"/>
      <c r="W90" s="24"/>
      <c r="X90" s="24"/>
      <c r="Y90" s="24"/>
      <c r="Z90" s="24"/>
      <c r="AA90" s="88"/>
      <c r="AB90" s="88"/>
      <c r="AC90" s="88"/>
      <c r="AD90" s="88"/>
      <c r="AE90" s="88"/>
    </row>
    <row r="91" spans="1:31" ht="13.5" customHeight="1" x14ac:dyDescent="0.3">
      <c r="A91" s="1"/>
      <c r="B91" s="1"/>
      <c r="C91" s="1"/>
      <c r="D91" s="1"/>
      <c r="E91" s="1"/>
      <c r="F91" s="1"/>
      <c r="G91" s="1"/>
      <c r="H91" s="1"/>
      <c r="I91" s="1"/>
      <c r="J91" s="1"/>
      <c r="K91" s="1"/>
      <c r="L91" s="24"/>
      <c r="M91" s="24"/>
      <c r="N91" s="24"/>
      <c r="O91" s="24"/>
      <c r="P91" s="24"/>
      <c r="Q91" s="24"/>
      <c r="R91" s="24"/>
      <c r="S91" s="24"/>
      <c r="T91" s="24"/>
      <c r="U91" s="24"/>
      <c r="V91" s="24"/>
      <c r="W91" s="24"/>
      <c r="X91" s="24"/>
      <c r="Y91" s="24"/>
      <c r="Z91" s="24"/>
      <c r="AA91" s="88"/>
      <c r="AB91" s="88"/>
      <c r="AC91" s="88"/>
      <c r="AD91" s="88"/>
      <c r="AE91" s="88"/>
    </row>
    <row r="92" spans="1:31" ht="13.5" customHeight="1" x14ac:dyDescent="0.3">
      <c r="A92" s="1"/>
      <c r="B92" s="1"/>
      <c r="C92" s="1"/>
      <c r="D92" s="1"/>
      <c r="E92" s="1"/>
      <c r="F92" s="1"/>
      <c r="G92" s="1"/>
      <c r="H92" s="1"/>
      <c r="I92" s="1"/>
      <c r="J92" s="1"/>
      <c r="K92" s="1"/>
      <c r="L92" s="24"/>
      <c r="M92" s="24"/>
      <c r="N92" s="24"/>
      <c r="O92" s="24"/>
      <c r="P92" s="24"/>
      <c r="Q92" s="24"/>
      <c r="R92" s="24"/>
      <c r="S92" s="24"/>
      <c r="T92" s="24"/>
      <c r="U92" s="24"/>
      <c r="V92" s="24"/>
      <c r="W92" s="24"/>
      <c r="X92" s="24"/>
      <c r="Y92" s="24"/>
      <c r="Z92" s="24"/>
      <c r="AA92" s="88"/>
      <c r="AB92" s="88"/>
      <c r="AC92" s="88"/>
      <c r="AD92" s="88"/>
      <c r="AE92" s="88"/>
    </row>
    <row r="93" spans="1:31" ht="13.5" customHeight="1" x14ac:dyDescent="0.3">
      <c r="A93" s="1"/>
      <c r="B93" s="1"/>
      <c r="C93" s="1"/>
      <c r="D93" s="1"/>
      <c r="E93" s="1"/>
      <c r="F93" s="1"/>
      <c r="G93" s="1"/>
      <c r="H93" s="1"/>
      <c r="I93" s="1"/>
      <c r="J93" s="1"/>
      <c r="K93" s="1"/>
      <c r="L93" s="24"/>
      <c r="M93" s="24"/>
      <c r="N93" s="24"/>
      <c r="O93" s="24"/>
      <c r="P93" s="24"/>
      <c r="Q93" s="24"/>
      <c r="R93" s="24"/>
      <c r="S93" s="24"/>
      <c r="T93" s="24"/>
      <c r="U93" s="24"/>
      <c r="V93" s="24"/>
      <c r="W93" s="24"/>
      <c r="X93" s="24"/>
      <c r="Y93" s="24"/>
      <c r="Z93" s="24"/>
      <c r="AA93" s="88"/>
      <c r="AB93" s="88"/>
      <c r="AC93" s="88"/>
      <c r="AD93" s="88"/>
      <c r="AE93" s="88"/>
    </row>
    <row r="94" spans="1:31" ht="13.5" customHeight="1" x14ac:dyDescent="0.3">
      <c r="A94" s="1"/>
      <c r="B94" s="1"/>
      <c r="C94" s="1"/>
      <c r="D94" s="1"/>
      <c r="E94" s="1"/>
      <c r="F94" s="1"/>
      <c r="G94" s="1"/>
      <c r="H94" s="1"/>
      <c r="I94" s="1"/>
      <c r="J94" s="1"/>
      <c r="K94" s="1"/>
      <c r="L94" s="24"/>
      <c r="M94" s="24"/>
      <c r="N94" s="24"/>
      <c r="O94" s="24"/>
      <c r="P94" s="24"/>
      <c r="Q94" s="24"/>
      <c r="R94" s="24"/>
      <c r="S94" s="24"/>
      <c r="T94" s="24"/>
      <c r="U94" s="24"/>
      <c r="V94" s="24"/>
      <c r="W94" s="24"/>
      <c r="X94" s="24"/>
      <c r="Y94" s="24"/>
      <c r="Z94" s="24"/>
      <c r="AA94" s="88"/>
      <c r="AB94" s="88"/>
      <c r="AC94" s="88"/>
      <c r="AD94" s="88"/>
      <c r="AE94" s="88"/>
    </row>
    <row r="95" spans="1:31" ht="13.5" customHeight="1" x14ac:dyDescent="0.3">
      <c r="A95" s="1"/>
      <c r="B95" s="1"/>
      <c r="C95" s="1"/>
      <c r="D95" s="1"/>
      <c r="E95" s="1"/>
      <c r="F95" s="1"/>
      <c r="G95" s="1"/>
      <c r="H95" s="1"/>
      <c r="I95" s="1"/>
      <c r="J95" s="1"/>
      <c r="K95" s="1"/>
      <c r="L95" s="24"/>
      <c r="M95" s="24"/>
      <c r="N95" s="24"/>
      <c r="O95" s="24"/>
      <c r="P95" s="24"/>
      <c r="Q95" s="24"/>
      <c r="R95" s="24"/>
      <c r="S95" s="24"/>
      <c r="T95" s="24"/>
      <c r="U95" s="24"/>
      <c r="V95" s="24"/>
      <c r="W95" s="24"/>
      <c r="X95" s="24"/>
      <c r="Y95" s="24"/>
      <c r="Z95" s="24"/>
      <c r="AA95" s="88"/>
      <c r="AB95" s="88"/>
      <c r="AC95" s="88"/>
      <c r="AD95" s="88"/>
      <c r="AE95" s="88"/>
    </row>
    <row r="96" spans="1:31" ht="13.5" customHeight="1" x14ac:dyDescent="0.3">
      <c r="A96" s="1"/>
      <c r="B96" s="1"/>
      <c r="C96" s="1"/>
      <c r="D96" s="1"/>
      <c r="E96" s="1"/>
      <c r="F96" s="1"/>
      <c r="G96" s="1"/>
      <c r="H96" s="1"/>
      <c r="I96" s="1"/>
      <c r="J96" s="1"/>
      <c r="K96" s="1"/>
      <c r="L96" s="24"/>
      <c r="M96" s="24"/>
      <c r="N96" s="24"/>
      <c r="O96" s="24"/>
      <c r="P96" s="24"/>
      <c r="Q96" s="24"/>
      <c r="R96" s="24"/>
      <c r="S96" s="24"/>
      <c r="T96" s="24"/>
      <c r="U96" s="24"/>
      <c r="V96" s="24"/>
      <c r="W96" s="24"/>
      <c r="X96" s="24"/>
      <c r="Y96" s="24"/>
      <c r="Z96" s="24"/>
      <c r="AA96" s="88"/>
      <c r="AB96" s="88"/>
      <c r="AC96" s="88"/>
      <c r="AD96" s="88"/>
      <c r="AE96" s="88"/>
    </row>
    <row r="97" spans="1:31" ht="13.5" customHeight="1" x14ac:dyDescent="0.3">
      <c r="A97" s="1"/>
      <c r="B97" s="1"/>
      <c r="C97" s="1"/>
      <c r="D97" s="1"/>
      <c r="E97" s="1"/>
      <c r="F97" s="1"/>
      <c r="G97" s="1"/>
      <c r="H97" s="1"/>
      <c r="I97" s="1"/>
      <c r="J97" s="1"/>
      <c r="K97" s="1"/>
      <c r="L97" s="24"/>
      <c r="M97" s="24"/>
      <c r="N97" s="24"/>
      <c r="O97" s="24"/>
      <c r="P97" s="24"/>
      <c r="Q97" s="24"/>
      <c r="R97" s="24"/>
      <c r="S97" s="24"/>
      <c r="T97" s="24"/>
      <c r="U97" s="24"/>
      <c r="V97" s="24"/>
      <c r="W97" s="24"/>
      <c r="X97" s="24"/>
      <c r="Y97" s="24"/>
      <c r="Z97" s="24"/>
      <c r="AA97" s="88"/>
      <c r="AB97" s="88"/>
      <c r="AC97" s="88"/>
      <c r="AD97" s="88"/>
      <c r="AE97" s="88"/>
    </row>
    <row r="98" spans="1:31" ht="13.5" customHeight="1" x14ac:dyDescent="0.3">
      <c r="A98" s="1"/>
      <c r="B98" s="1"/>
      <c r="C98" s="1"/>
      <c r="D98" s="1"/>
      <c r="E98" s="1"/>
      <c r="F98" s="1"/>
      <c r="G98" s="1"/>
      <c r="H98" s="1"/>
      <c r="I98" s="1"/>
      <c r="J98" s="1"/>
      <c r="K98" s="1"/>
      <c r="L98" s="24"/>
      <c r="M98" s="24"/>
      <c r="N98" s="24"/>
      <c r="O98" s="24"/>
      <c r="P98" s="24"/>
      <c r="Q98" s="24"/>
      <c r="R98" s="24"/>
      <c r="S98" s="24"/>
      <c r="T98" s="24"/>
      <c r="U98" s="24"/>
      <c r="V98" s="24"/>
      <c r="W98" s="24"/>
      <c r="X98" s="24"/>
      <c r="Y98" s="24"/>
      <c r="Z98" s="24"/>
      <c r="AA98" s="88"/>
      <c r="AB98" s="88"/>
      <c r="AC98" s="88"/>
      <c r="AD98" s="88"/>
      <c r="AE98" s="88"/>
    </row>
    <row r="99" spans="1:31" ht="13.5" customHeight="1" x14ac:dyDescent="0.3">
      <c r="A99" s="1"/>
      <c r="B99" s="1"/>
      <c r="C99" s="1"/>
      <c r="D99" s="1"/>
      <c r="E99" s="1"/>
      <c r="F99" s="1"/>
      <c r="G99" s="1"/>
      <c r="H99" s="1"/>
      <c r="I99" s="1"/>
      <c r="J99" s="1"/>
      <c r="K99" s="1"/>
      <c r="L99" s="24"/>
      <c r="M99" s="24"/>
      <c r="N99" s="24"/>
      <c r="O99" s="24"/>
      <c r="P99" s="24"/>
      <c r="Q99" s="24"/>
      <c r="R99" s="24"/>
      <c r="S99" s="24"/>
      <c r="T99" s="24"/>
      <c r="U99" s="24"/>
      <c r="V99" s="24"/>
      <c r="W99" s="24"/>
      <c r="X99" s="24"/>
      <c r="Y99" s="24"/>
      <c r="Z99" s="24"/>
      <c r="AA99" s="88"/>
      <c r="AB99" s="88"/>
      <c r="AC99" s="88"/>
      <c r="AD99" s="88"/>
      <c r="AE99" s="88"/>
    </row>
    <row r="100" spans="1:31" ht="13.5" customHeight="1" x14ac:dyDescent="0.3">
      <c r="A100" s="1"/>
      <c r="B100" s="1"/>
      <c r="C100" s="1"/>
      <c r="D100" s="1"/>
      <c r="E100" s="1"/>
      <c r="F100" s="1"/>
      <c r="G100" s="1"/>
      <c r="H100" s="1"/>
      <c r="I100" s="1"/>
      <c r="J100" s="1"/>
      <c r="K100" s="1"/>
      <c r="L100" s="24"/>
      <c r="M100" s="24"/>
      <c r="N100" s="24"/>
      <c r="O100" s="24"/>
      <c r="P100" s="24"/>
      <c r="Q100" s="24"/>
      <c r="R100" s="24"/>
      <c r="S100" s="24"/>
      <c r="T100" s="24"/>
      <c r="U100" s="24"/>
      <c r="V100" s="24"/>
      <c r="W100" s="24"/>
      <c r="X100" s="24"/>
      <c r="Y100" s="24"/>
      <c r="Z100" s="24"/>
      <c r="AA100" s="88"/>
      <c r="AB100" s="88"/>
      <c r="AC100" s="88"/>
      <c r="AD100" s="88"/>
      <c r="AE100" s="88"/>
    </row>
    <row r="101" spans="1:31" ht="13.5" customHeight="1" x14ac:dyDescent="0.3">
      <c r="A101" s="1"/>
      <c r="B101" s="1"/>
      <c r="C101" s="1"/>
      <c r="D101" s="1"/>
      <c r="E101" s="1"/>
      <c r="F101" s="1"/>
      <c r="G101" s="1"/>
      <c r="H101" s="1"/>
      <c r="I101" s="1"/>
      <c r="J101" s="1"/>
      <c r="K101" s="1"/>
      <c r="L101" s="24"/>
      <c r="M101" s="24"/>
      <c r="N101" s="24"/>
      <c r="O101" s="24"/>
      <c r="P101" s="24"/>
      <c r="Q101" s="24"/>
      <c r="R101" s="24"/>
      <c r="S101" s="24"/>
      <c r="T101" s="24"/>
      <c r="U101" s="24"/>
      <c r="V101" s="24"/>
      <c r="W101" s="24"/>
      <c r="X101" s="24"/>
      <c r="Y101" s="24"/>
      <c r="Z101" s="24"/>
      <c r="AA101" s="88"/>
      <c r="AB101" s="88"/>
      <c r="AC101" s="88"/>
      <c r="AD101" s="88"/>
      <c r="AE101" s="88"/>
    </row>
    <row r="102" spans="1:31" ht="13.5" customHeight="1" x14ac:dyDescent="0.3">
      <c r="A102" s="1"/>
      <c r="B102" s="1"/>
      <c r="C102" s="1"/>
      <c r="D102" s="1"/>
      <c r="E102" s="1"/>
      <c r="F102" s="1"/>
      <c r="G102" s="1"/>
      <c r="H102" s="1"/>
      <c r="I102" s="1"/>
      <c r="J102" s="1"/>
      <c r="K102" s="1"/>
      <c r="L102" s="24"/>
      <c r="M102" s="24"/>
      <c r="N102" s="24"/>
      <c r="O102" s="24"/>
      <c r="P102" s="24"/>
      <c r="Q102" s="24"/>
      <c r="R102" s="24"/>
      <c r="S102" s="24"/>
      <c r="T102" s="24"/>
      <c r="U102" s="24"/>
      <c r="V102" s="24"/>
      <c r="W102" s="24"/>
      <c r="X102" s="24"/>
      <c r="Y102" s="24"/>
      <c r="Z102" s="24"/>
      <c r="AA102" s="88"/>
      <c r="AB102" s="88"/>
      <c r="AC102" s="88"/>
      <c r="AD102" s="88"/>
      <c r="AE102" s="88"/>
    </row>
    <row r="103" spans="1:31" ht="13.5" customHeight="1" x14ac:dyDescent="0.3">
      <c r="A103" s="1"/>
      <c r="B103" s="1"/>
      <c r="C103" s="1"/>
      <c r="D103" s="1"/>
      <c r="E103" s="1"/>
      <c r="F103" s="1"/>
      <c r="G103" s="1"/>
      <c r="H103" s="1"/>
      <c r="I103" s="1"/>
      <c r="J103" s="1"/>
      <c r="K103" s="1"/>
      <c r="L103" s="24"/>
      <c r="M103" s="24"/>
      <c r="N103" s="24"/>
      <c r="O103" s="24"/>
      <c r="P103" s="24"/>
      <c r="Q103" s="24"/>
      <c r="R103" s="24"/>
      <c r="S103" s="24"/>
      <c r="T103" s="24"/>
      <c r="U103" s="24"/>
      <c r="V103" s="24"/>
      <c r="W103" s="24"/>
      <c r="X103" s="24"/>
      <c r="Y103" s="24"/>
      <c r="Z103" s="24"/>
      <c r="AA103" s="88"/>
      <c r="AB103" s="88"/>
      <c r="AC103" s="88"/>
      <c r="AD103" s="88"/>
      <c r="AE103" s="88"/>
    </row>
    <row r="104" spans="1:31" ht="13.5" customHeight="1" x14ac:dyDescent="0.3">
      <c r="A104" s="1"/>
      <c r="B104" s="1"/>
      <c r="C104" s="1"/>
      <c r="D104" s="1"/>
      <c r="E104" s="1"/>
      <c r="F104" s="1"/>
      <c r="G104" s="1"/>
      <c r="H104" s="1"/>
      <c r="I104" s="1"/>
      <c r="J104" s="1"/>
      <c r="K104" s="1"/>
      <c r="L104" s="24"/>
      <c r="M104" s="24"/>
      <c r="N104" s="24"/>
      <c r="O104" s="24"/>
      <c r="P104" s="24"/>
      <c r="Q104" s="24"/>
      <c r="R104" s="24"/>
      <c r="S104" s="24"/>
      <c r="T104" s="24"/>
      <c r="U104" s="24"/>
      <c r="V104" s="24"/>
      <c r="W104" s="24"/>
      <c r="X104" s="24"/>
      <c r="Y104" s="24"/>
      <c r="Z104" s="24"/>
      <c r="AA104" s="88"/>
      <c r="AB104" s="88"/>
      <c r="AC104" s="88"/>
      <c r="AD104" s="88"/>
      <c r="AE104" s="88"/>
    </row>
    <row r="105" spans="1:31" ht="13.5" customHeight="1" x14ac:dyDescent="0.3">
      <c r="A105" s="1"/>
      <c r="B105" s="1"/>
      <c r="C105" s="1"/>
      <c r="D105" s="1"/>
      <c r="E105" s="1"/>
      <c r="F105" s="1"/>
      <c r="G105" s="1"/>
      <c r="H105" s="1"/>
      <c r="I105" s="1"/>
      <c r="J105" s="1"/>
      <c r="K105" s="1"/>
      <c r="L105" s="24"/>
      <c r="M105" s="24"/>
      <c r="N105" s="24"/>
      <c r="O105" s="24"/>
      <c r="P105" s="24"/>
      <c r="Q105" s="24"/>
      <c r="R105" s="24"/>
      <c r="S105" s="24"/>
      <c r="T105" s="24"/>
      <c r="U105" s="24"/>
      <c r="V105" s="24"/>
      <c r="W105" s="24"/>
      <c r="X105" s="24"/>
      <c r="Y105" s="24"/>
      <c r="Z105" s="24"/>
      <c r="AA105" s="88"/>
      <c r="AB105" s="88"/>
      <c r="AC105" s="88"/>
      <c r="AD105" s="88"/>
      <c r="AE105" s="88"/>
    </row>
    <row r="106" spans="1:31" ht="13.5" customHeight="1" x14ac:dyDescent="0.3">
      <c r="A106" s="1"/>
      <c r="B106" s="1"/>
      <c r="C106" s="1"/>
      <c r="D106" s="1"/>
      <c r="E106" s="1"/>
      <c r="F106" s="1"/>
      <c r="G106" s="1"/>
      <c r="H106" s="1"/>
      <c r="I106" s="1"/>
      <c r="J106" s="1"/>
      <c r="K106" s="1"/>
      <c r="L106" s="24"/>
      <c r="M106" s="24"/>
      <c r="N106" s="24"/>
      <c r="O106" s="24"/>
      <c r="P106" s="24"/>
      <c r="Q106" s="24"/>
      <c r="R106" s="24"/>
      <c r="S106" s="24"/>
      <c r="T106" s="24"/>
      <c r="U106" s="24"/>
      <c r="V106" s="24"/>
      <c r="W106" s="24"/>
      <c r="X106" s="24"/>
      <c r="Y106" s="24"/>
      <c r="Z106" s="24"/>
      <c r="AA106" s="88"/>
      <c r="AB106" s="88"/>
      <c r="AC106" s="88"/>
      <c r="AD106" s="88"/>
      <c r="AE106" s="88"/>
    </row>
    <row r="107" spans="1:31" ht="13.5" customHeight="1" x14ac:dyDescent="0.3">
      <c r="A107" s="1"/>
      <c r="B107" s="1"/>
      <c r="C107" s="1"/>
      <c r="D107" s="1"/>
      <c r="E107" s="1"/>
      <c r="F107" s="1"/>
      <c r="G107" s="1"/>
      <c r="H107" s="1"/>
      <c r="I107" s="1"/>
      <c r="J107" s="1"/>
      <c r="K107" s="1"/>
      <c r="L107" s="24"/>
      <c r="M107" s="24"/>
      <c r="N107" s="24"/>
      <c r="O107" s="24"/>
      <c r="P107" s="24"/>
      <c r="Q107" s="24"/>
      <c r="R107" s="24"/>
      <c r="S107" s="24"/>
      <c r="T107" s="24"/>
      <c r="U107" s="24"/>
      <c r="V107" s="24"/>
      <c r="W107" s="24"/>
      <c r="X107" s="24"/>
      <c r="Y107" s="24"/>
      <c r="Z107" s="24"/>
      <c r="AA107" s="88"/>
      <c r="AB107" s="88"/>
      <c r="AC107" s="88"/>
      <c r="AD107" s="88"/>
      <c r="AE107" s="88"/>
    </row>
    <row r="108" spans="1:31" ht="13.5" customHeight="1" x14ac:dyDescent="0.3">
      <c r="A108" s="1"/>
      <c r="B108" s="1"/>
      <c r="C108" s="1"/>
      <c r="D108" s="1"/>
      <c r="E108" s="1"/>
      <c r="F108" s="1"/>
      <c r="G108" s="1"/>
      <c r="H108" s="1"/>
      <c r="I108" s="1"/>
      <c r="J108" s="1"/>
      <c r="K108" s="1"/>
      <c r="L108" s="24"/>
      <c r="M108" s="24"/>
      <c r="N108" s="24"/>
      <c r="O108" s="24"/>
      <c r="P108" s="24"/>
      <c r="Q108" s="24"/>
      <c r="R108" s="24"/>
      <c r="S108" s="24"/>
      <c r="T108" s="24"/>
      <c r="U108" s="24"/>
      <c r="V108" s="24"/>
      <c r="W108" s="24"/>
      <c r="X108" s="24"/>
      <c r="Y108" s="24"/>
      <c r="Z108" s="24"/>
      <c r="AA108" s="88"/>
      <c r="AB108" s="88"/>
      <c r="AC108" s="88"/>
      <c r="AD108" s="88"/>
      <c r="AE108" s="88"/>
    </row>
    <row r="109" spans="1:31" ht="13.5" customHeight="1" x14ac:dyDescent="0.3">
      <c r="A109" s="1"/>
      <c r="B109" s="1"/>
      <c r="C109" s="1"/>
      <c r="D109" s="1"/>
      <c r="E109" s="1"/>
      <c r="F109" s="1"/>
      <c r="G109" s="1"/>
      <c r="H109" s="1"/>
      <c r="I109" s="1"/>
      <c r="J109" s="1"/>
      <c r="K109" s="1"/>
      <c r="L109" s="24"/>
      <c r="M109" s="24"/>
      <c r="N109" s="24"/>
      <c r="O109" s="24"/>
      <c r="P109" s="24"/>
      <c r="Q109" s="24"/>
      <c r="R109" s="24"/>
      <c r="S109" s="24"/>
      <c r="T109" s="24"/>
      <c r="U109" s="24"/>
      <c r="V109" s="24"/>
      <c r="W109" s="24"/>
      <c r="X109" s="24"/>
      <c r="Y109" s="24"/>
      <c r="Z109" s="24"/>
      <c r="AA109" s="88"/>
      <c r="AB109" s="88"/>
      <c r="AC109" s="88"/>
      <c r="AD109" s="88"/>
      <c r="AE109" s="88"/>
    </row>
    <row r="110" spans="1:31" ht="13.5" customHeight="1" x14ac:dyDescent="0.3">
      <c r="A110" s="1"/>
      <c r="B110" s="1"/>
      <c r="C110" s="1"/>
      <c r="D110" s="1"/>
      <c r="E110" s="1"/>
      <c r="F110" s="1"/>
      <c r="G110" s="1"/>
      <c r="H110" s="1"/>
      <c r="I110" s="1"/>
      <c r="J110" s="1"/>
      <c r="K110" s="1"/>
      <c r="L110" s="24"/>
      <c r="M110" s="24"/>
      <c r="N110" s="24"/>
      <c r="O110" s="24"/>
      <c r="P110" s="24"/>
      <c r="Q110" s="24"/>
      <c r="R110" s="24"/>
      <c r="S110" s="24"/>
      <c r="T110" s="24"/>
      <c r="U110" s="24"/>
      <c r="V110" s="24"/>
      <c r="W110" s="24"/>
      <c r="X110" s="24"/>
      <c r="Y110" s="24"/>
      <c r="Z110" s="24"/>
      <c r="AA110" s="88"/>
      <c r="AB110" s="88"/>
      <c r="AC110" s="88"/>
      <c r="AD110" s="88"/>
      <c r="AE110" s="88"/>
    </row>
    <row r="111" spans="1:31" ht="13.5" customHeight="1" x14ac:dyDescent="0.3">
      <c r="A111" s="1"/>
      <c r="B111" s="1"/>
      <c r="C111" s="1"/>
      <c r="D111" s="1"/>
      <c r="E111" s="1"/>
      <c r="F111" s="1"/>
      <c r="G111" s="1"/>
      <c r="H111" s="1"/>
      <c r="I111" s="1"/>
      <c r="J111" s="1"/>
      <c r="K111" s="1"/>
      <c r="L111" s="24"/>
      <c r="M111" s="24"/>
      <c r="N111" s="24"/>
      <c r="O111" s="24"/>
      <c r="P111" s="24"/>
      <c r="Q111" s="24"/>
      <c r="R111" s="24"/>
      <c r="S111" s="24"/>
      <c r="T111" s="24"/>
      <c r="U111" s="24"/>
      <c r="V111" s="24"/>
      <c r="W111" s="24"/>
      <c r="X111" s="24"/>
      <c r="Y111" s="24"/>
      <c r="Z111" s="24"/>
      <c r="AA111" s="88"/>
      <c r="AB111" s="88"/>
      <c r="AC111" s="88"/>
      <c r="AD111" s="88"/>
      <c r="AE111" s="88"/>
    </row>
    <row r="112" spans="1:31" ht="13.5" customHeight="1" x14ac:dyDescent="0.3">
      <c r="A112" s="1"/>
      <c r="B112" s="1"/>
      <c r="C112" s="1"/>
      <c r="D112" s="1"/>
      <c r="E112" s="1"/>
      <c r="F112" s="1"/>
      <c r="G112" s="1"/>
      <c r="H112" s="1"/>
      <c r="I112" s="1"/>
      <c r="J112" s="1"/>
      <c r="K112" s="1"/>
      <c r="L112" s="24"/>
      <c r="M112" s="24"/>
      <c r="N112" s="24"/>
      <c r="O112" s="24"/>
      <c r="P112" s="24"/>
      <c r="Q112" s="24"/>
      <c r="R112" s="24"/>
      <c r="S112" s="24"/>
      <c r="T112" s="24"/>
      <c r="U112" s="24"/>
      <c r="V112" s="24"/>
      <c r="W112" s="24"/>
      <c r="X112" s="24"/>
      <c r="Y112" s="24"/>
      <c r="Z112" s="24"/>
      <c r="AA112" s="88"/>
      <c r="AB112" s="88"/>
      <c r="AC112" s="88"/>
      <c r="AD112" s="88"/>
      <c r="AE112" s="88"/>
    </row>
    <row r="113" spans="1:31" ht="13.5" customHeight="1" x14ac:dyDescent="0.3">
      <c r="A113" s="1"/>
      <c r="B113" s="1"/>
      <c r="C113" s="1"/>
      <c r="D113" s="1"/>
      <c r="E113" s="1"/>
      <c r="F113" s="1"/>
      <c r="G113" s="1"/>
      <c r="H113" s="1"/>
      <c r="I113" s="1"/>
      <c r="J113" s="1"/>
      <c r="K113" s="1"/>
      <c r="L113" s="24"/>
      <c r="M113" s="24"/>
      <c r="N113" s="24"/>
      <c r="O113" s="24"/>
      <c r="P113" s="24"/>
      <c r="Q113" s="24"/>
      <c r="R113" s="24"/>
      <c r="S113" s="24"/>
      <c r="T113" s="24"/>
      <c r="U113" s="24"/>
      <c r="V113" s="24"/>
      <c r="W113" s="24"/>
      <c r="X113" s="24"/>
      <c r="Y113" s="24"/>
      <c r="Z113" s="24"/>
      <c r="AA113" s="88"/>
      <c r="AB113" s="88"/>
      <c r="AC113" s="88"/>
      <c r="AD113" s="88"/>
      <c r="AE113" s="88"/>
    </row>
    <row r="114" spans="1:31" ht="13.5" customHeight="1" x14ac:dyDescent="0.3">
      <c r="A114" s="1"/>
      <c r="B114" s="1"/>
      <c r="C114" s="1"/>
      <c r="D114" s="1"/>
      <c r="E114" s="1"/>
      <c r="F114" s="1"/>
      <c r="G114" s="1"/>
      <c r="H114" s="1"/>
      <c r="I114" s="1"/>
      <c r="J114" s="1"/>
      <c r="K114" s="1"/>
      <c r="L114" s="24"/>
      <c r="M114" s="24"/>
      <c r="N114" s="24"/>
      <c r="O114" s="24"/>
      <c r="P114" s="24"/>
      <c r="Q114" s="24"/>
      <c r="R114" s="24"/>
      <c r="S114" s="24"/>
      <c r="T114" s="24"/>
      <c r="U114" s="24"/>
      <c r="V114" s="24"/>
      <c r="W114" s="24"/>
      <c r="X114" s="24"/>
      <c r="Y114" s="24"/>
      <c r="Z114" s="24"/>
      <c r="AA114" s="88"/>
      <c r="AB114" s="88"/>
      <c r="AC114" s="88"/>
      <c r="AD114" s="88"/>
      <c r="AE114" s="88"/>
    </row>
    <row r="115" spans="1:31" ht="13.5" customHeight="1" x14ac:dyDescent="0.3">
      <c r="A115" s="1"/>
      <c r="B115" s="1"/>
      <c r="C115" s="1"/>
      <c r="D115" s="1"/>
      <c r="E115" s="1"/>
      <c r="F115" s="1"/>
      <c r="G115" s="1"/>
      <c r="H115" s="1"/>
      <c r="I115" s="1"/>
      <c r="J115" s="1"/>
      <c r="K115" s="1"/>
      <c r="L115" s="24"/>
      <c r="M115" s="24"/>
      <c r="N115" s="24"/>
      <c r="O115" s="24"/>
      <c r="P115" s="24"/>
      <c r="Q115" s="24"/>
      <c r="R115" s="24"/>
      <c r="S115" s="24"/>
      <c r="T115" s="24"/>
      <c r="U115" s="24"/>
      <c r="V115" s="24"/>
      <c r="W115" s="24"/>
      <c r="X115" s="24"/>
      <c r="Y115" s="24"/>
      <c r="Z115" s="24"/>
      <c r="AA115" s="88"/>
      <c r="AB115" s="88"/>
      <c r="AC115" s="88"/>
      <c r="AD115" s="88"/>
      <c r="AE115" s="88"/>
    </row>
    <row r="116" spans="1:31" ht="13.5" customHeight="1" x14ac:dyDescent="0.3">
      <c r="A116" s="1"/>
      <c r="B116" s="1"/>
      <c r="C116" s="1"/>
      <c r="D116" s="1"/>
      <c r="E116" s="1"/>
      <c r="F116" s="1"/>
      <c r="G116" s="1"/>
      <c r="H116" s="1"/>
      <c r="I116" s="1"/>
      <c r="J116" s="1"/>
      <c r="K116" s="1"/>
      <c r="L116" s="24"/>
      <c r="M116" s="24"/>
      <c r="N116" s="24"/>
      <c r="O116" s="24"/>
      <c r="P116" s="24"/>
      <c r="Q116" s="24"/>
      <c r="R116" s="24"/>
      <c r="S116" s="24"/>
      <c r="T116" s="24"/>
      <c r="U116" s="24"/>
      <c r="V116" s="24"/>
      <c r="W116" s="24"/>
      <c r="X116" s="24"/>
      <c r="Y116" s="24"/>
      <c r="Z116" s="24"/>
      <c r="AA116" s="88"/>
      <c r="AB116" s="88"/>
      <c r="AC116" s="88"/>
      <c r="AD116" s="88"/>
      <c r="AE116" s="88"/>
    </row>
    <row r="117" spans="1:31" ht="13.5" customHeight="1" x14ac:dyDescent="0.3">
      <c r="A117" s="1"/>
      <c r="B117" s="1"/>
      <c r="C117" s="1"/>
      <c r="D117" s="1"/>
      <c r="E117" s="1"/>
      <c r="F117" s="1"/>
      <c r="G117" s="1"/>
      <c r="H117" s="1"/>
      <c r="I117" s="1"/>
      <c r="J117" s="1"/>
      <c r="K117" s="1"/>
      <c r="L117" s="24"/>
      <c r="M117" s="24"/>
      <c r="N117" s="24"/>
      <c r="O117" s="24"/>
      <c r="P117" s="24"/>
      <c r="Q117" s="24"/>
      <c r="R117" s="24"/>
      <c r="S117" s="24"/>
      <c r="T117" s="24"/>
      <c r="U117" s="24"/>
      <c r="V117" s="24"/>
      <c r="W117" s="24"/>
      <c r="X117" s="24"/>
      <c r="Y117" s="24"/>
      <c r="Z117" s="24"/>
      <c r="AA117" s="88"/>
      <c r="AB117" s="88"/>
      <c r="AC117" s="88"/>
      <c r="AD117" s="88"/>
      <c r="AE117" s="88"/>
    </row>
    <row r="118" spans="1:31" ht="13.5" customHeight="1" x14ac:dyDescent="0.3">
      <c r="A118" s="1"/>
      <c r="B118" s="1"/>
      <c r="C118" s="1"/>
      <c r="D118" s="1"/>
      <c r="E118" s="1"/>
      <c r="F118" s="1"/>
      <c r="G118" s="1"/>
      <c r="H118" s="1"/>
      <c r="I118" s="1"/>
      <c r="J118" s="1"/>
      <c r="K118" s="1"/>
      <c r="L118" s="24"/>
      <c r="M118" s="24"/>
      <c r="N118" s="24"/>
      <c r="O118" s="24"/>
      <c r="P118" s="24"/>
      <c r="Q118" s="24"/>
      <c r="R118" s="24"/>
      <c r="S118" s="24"/>
      <c r="T118" s="24"/>
      <c r="U118" s="24"/>
      <c r="V118" s="24"/>
      <c r="W118" s="24"/>
      <c r="X118" s="24"/>
      <c r="Y118" s="24"/>
      <c r="Z118" s="24"/>
      <c r="AA118" s="88"/>
      <c r="AB118" s="88"/>
      <c r="AC118" s="88"/>
      <c r="AD118" s="88"/>
      <c r="AE118" s="88"/>
    </row>
    <row r="119" spans="1:31" ht="13.5" customHeight="1" x14ac:dyDescent="0.3">
      <c r="A119" s="1"/>
      <c r="B119" s="1"/>
      <c r="C119" s="1"/>
      <c r="D119" s="1"/>
      <c r="E119" s="1"/>
      <c r="F119" s="1"/>
      <c r="G119" s="1"/>
      <c r="H119" s="1"/>
      <c r="I119" s="1"/>
      <c r="J119" s="1"/>
      <c r="K119" s="1"/>
      <c r="L119" s="24"/>
      <c r="M119" s="24"/>
      <c r="N119" s="24"/>
      <c r="O119" s="24"/>
      <c r="P119" s="24"/>
      <c r="Q119" s="24"/>
      <c r="R119" s="24"/>
      <c r="S119" s="24"/>
      <c r="T119" s="24"/>
      <c r="U119" s="24"/>
      <c r="V119" s="24"/>
      <c r="W119" s="24"/>
      <c r="X119" s="24"/>
      <c r="Y119" s="24"/>
      <c r="Z119" s="24"/>
      <c r="AA119" s="88"/>
      <c r="AB119" s="88"/>
      <c r="AC119" s="88"/>
      <c r="AD119" s="88"/>
      <c r="AE119" s="88"/>
    </row>
    <row r="120" spans="1:31" ht="13.5" customHeight="1" x14ac:dyDescent="0.3">
      <c r="A120" s="1"/>
      <c r="B120" s="1"/>
      <c r="C120" s="1"/>
      <c r="D120" s="1"/>
      <c r="E120" s="1"/>
      <c r="F120" s="1"/>
      <c r="G120" s="1"/>
      <c r="H120" s="1"/>
      <c r="I120" s="1"/>
      <c r="J120" s="1"/>
      <c r="K120" s="1"/>
      <c r="L120" s="24"/>
      <c r="M120" s="24"/>
      <c r="N120" s="24"/>
      <c r="O120" s="24"/>
      <c r="P120" s="24"/>
      <c r="Q120" s="24"/>
      <c r="R120" s="24"/>
      <c r="S120" s="24"/>
      <c r="T120" s="24"/>
      <c r="U120" s="24"/>
      <c r="V120" s="24"/>
      <c r="W120" s="24"/>
      <c r="X120" s="24"/>
      <c r="Y120" s="24"/>
      <c r="Z120" s="24"/>
      <c r="AA120" s="88"/>
      <c r="AB120" s="88"/>
      <c r="AC120" s="88"/>
      <c r="AD120" s="88"/>
      <c r="AE120" s="88"/>
    </row>
    <row r="121" spans="1:31" ht="13.5" customHeight="1" x14ac:dyDescent="0.3">
      <c r="A121" s="1"/>
      <c r="B121" s="1"/>
      <c r="C121" s="1"/>
      <c r="D121" s="1"/>
      <c r="E121" s="1"/>
      <c r="F121" s="1"/>
      <c r="G121" s="1"/>
      <c r="H121" s="1"/>
      <c r="I121" s="1"/>
      <c r="J121" s="1"/>
      <c r="K121" s="1"/>
      <c r="L121" s="24"/>
      <c r="M121" s="24"/>
      <c r="N121" s="24"/>
      <c r="O121" s="24"/>
      <c r="P121" s="24"/>
      <c r="Q121" s="24"/>
      <c r="R121" s="24"/>
      <c r="S121" s="24"/>
      <c r="T121" s="24"/>
      <c r="U121" s="24"/>
      <c r="V121" s="24"/>
      <c r="W121" s="24"/>
      <c r="X121" s="24"/>
      <c r="Y121" s="24"/>
      <c r="Z121" s="24"/>
      <c r="AA121" s="88"/>
      <c r="AB121" s="88"/>
      <c r="AC121" s="88"/>
      <c r="AD121" s="88"/>
      <c r="AE121" s="88"/>
    </row>
    <row r="122" spans="1:31" ht="13.5" customHeight="1" x14ac:dyDescent="0.3">
      <c r="A122" s="1"/>
      <c r="B122" s="1"/>
      <c r="C122" s="1"/>
      <c r="D122" s="1"/>
      <c r="E122" s="1"/>
      <c r="F122" s="1"/>
      <c r="G122" s="1"/>
      <c r="H122" s="1"/>
      <c r="I122" s="1"/>
      <c r="J122" s="1"/>
      <c r="K122" s="1"/>
      <c r="L122" s="24"/>
      <c r="M122" s="24"/>
      <c r="N122" s="24"/>
      <c r="O122" s="24"/>
      <c r="P122" s="24"/>
      <c r="Q122" s="24"/>
      <c r="R122" s="24"/>
      <c r="S122" s="24"/>
      <c r="T122" s="24"/>
      <c r="U122" s="24"/>
      <c r="V122" s="24"/>
      <c r="W122" s="24"/>
      <c r="X122" s="24"/>
      <c r="Y122" s="24"/>
      <c r="Z122" s="24"/>
      <c r="AA122" s="88"/>
      <c r="AB122" s="88"/>
      <c r="AC122" s="88"/>
      <c r="AD122" s="88"/>
      <c r="AE122" s="88"/>
    </row>
    <row r="123" spans="1:31" ht="13.5" customHeight="1" x14ac:dyDescent="0.3">
      <c r="A123" s="1"/>
      <c r="B123" s="1"/>
      <c r="C123" s="1"/>
      <c r="D123" s="1"/>
      <c r="E123" s="1"/>
      <c r="F123" s="1"/>
      <c r="G123" s="1"/>
      <c r="H123" s="1"/>
      <c r="I123" s="1"/>
      <c r="J123" s="1"/>
      <c r="K123" s="1"/>
      <c r="L123" s="24"/>
      <c r="M123" s="24"/>
      <c r="N123" s="24"/>
      <c r="O123" s="24"/>
      <c r="P123" s="24"/>
      <c r="Q123" s="24"/>
      <c r="R123" s="24"/>
      <c r="S123" s="24"/>
      <c r="T123" s="24"/>
      <c r="U123" s="24"/>
      <c r="V123" s="24"/>
      <c r="W123" s="24"/>
      <c r="X123" s="24"/>
      <c r="Y123" s="24"/>
      <c r="Z123" s="24"/>
      <c r="AA123" s="88"/>
      <c r="AB123" s="88"/>
      <c r="AC123" s="88"/>
      <c r="AD123" s="88"/>
      <c r="AE123" s="88"/>
    </row>
    <row r="124" spans="1:31" ht="13.5" customHeight="1" x14ac:dyDescent="0.3">
      <c r="A124" s="1"/>
      <c r="B124" s="1"/>
      <c r="C124" s="1"/>
      <c r="D124" s="1"/>
      <c r="E124" s="1"/>
      <c r="F124" s="1"/>
      <c r="G124" s="1"/>
      <c r="H124" s="1"/>
      <c r="I124" s="1"/>
      <c r="J124" s="1"/>
      <c r="K124" s="1"/>
      <c r="L124" s="24"/>
      <c r="M124" s="24"/>
      <c r="N124" s="24"/>
      <c r="O124" s="24"/>
      <c r="P124" s="24"/>
      <c r="Q124" s="24"/>
      <c r="R124" s="24"/>
      <c r="S124" s="24"/>
      <c r="T124" s="24"/>
      <c r="U124" s="24"/>
      <c r="V124" s="24"/>
      <c r="W124" s="24"/>
      <c r="X124" s="24"/>
      <c r="Y124" s="24"/>
      <c r="Z124" s="24"/>
      <c r="AA124" s="88"/>
      <c r="AB124" s="88"/>
      <c r="AC124" s="88"/>
      <c r="AD124" s="88"/>
      <c r="AE124" s="88"/>
    </row>
    <row r="125" spans="1:31" ht="13.5" customHeight="1" x14ac:dyDescent="0.3">
      <c r="A125" s="1"/>
      <c r="B125" s="1"/>
      <c r="C125" s="1"/>
      <c r="D125" s="1"/>
      <c r="E125" s="1"/>
      <c r="F125" s="1"/>
      <c r="G125" s="1"/>
      <c r="H125" s="1"/>
      <c r="I125" s="1"/>
      <c r="J125" s="1"/>
      <c r="K125" s="1"/>
      <c r="L125" s="24"/>
      <c r="M125" s="24"/>
      <c r="N125" s="24"/>
      <c r="O125" s="24"/>
      <c r="P125" s="24"/>
      <c r="Q125" s="24"/>
      <c r="R125" s="24"/>
      <c r="S125" s="24"/>
      <c r="T125" s="24"/>
      <c r="U125" s="24"/>
      <c r="V125" s="24"/>
      <c r="W125" s="24"/>
      <c r="X125" s="24"/>
      <c r="Y125" s="24"/>
      <c r="Z125" s="24"/>
      <c r="AA125" s="88"/>
      <c r="AB125" s="88"/>
      <c r="AC125" s="88"/>
      <c r="AD125" s="88"/>
      <c r="AE125" s="88"/>
    </row>
    <row r="126" spans="1:31" ht="13.5" customHeight="1" x14ac:dyDescent="0.3">
      <c r="A126" s="1"/>
      <c r="B126" s="1"/>
      <c r="C126" s="1"/>
      <c r="D126" s="1"/>
      <c r="E126" s="1"/>
      <c r="F126" s="1"/>
      <c r="G126" s="1"/>
      <c r="H126" s="1"/>
      <c r="I126" s="1"/>
      <c r="J126" s="1"/>
      <c r="K126" s="1"/>
      <c r="L126" s="24"/>
      <c r="M126" s="24"/>
      <c r="N126" s="24"/>
      <c r="O126" s="24"/>
      <c r="P126" s="24"/>
      <c r="Q126" s="24"/>
      <c r="R126" s="24"/>
      <c r="S126" s="24"/>
      <c r="T126" s="24"/>
      <c r="U126" s="24"/>
      <c r="V126" s="24"/>
      <c r="W126" s="24"/>
      <c r="X126" s="24"/>
      <c r="Y126" s="24"/>
      <c r="Z126" s="24"/>
      <c r="AA126" s="88"/>
      <c r="AB126" s="88"/>
      <c r="AC126" s="88"/>
      <c r="AD126" s="88"/>
      <c r="AE126" s="88"/>
    </row>
    <row r="127" spans="1:31" ht="13.5" customHeight="1" x14ac:dyDescent="0.3">
      <c r="A127" s="1"/>
      <c r="B127" s="1"/>
      <c r="C127" s="1"/>
      <c r="D127" s="1"/>
      <c r="E127" s="1"/>
      <c r="F127" s="1"/>
      <c r="G127" s="1"/>
      <c r="H127" s="1"/>
      <c r="I127" s="1"/>
      <c r="J127" s="1"/>
      <c r="K127" s="1"/>
      <c r="L127" s="24"/>
      <c r="M127" s="24"/>
      <c r="N127" s="24"/>
      <c r="O127" s="24"/>
      <c r="P127" s="24"/>
      <c r="Q127" s="24"/>
      <c r="R127" s="24"/>
      <c r="S127" s="24"/>
      <c r="T127" s="24"/>
      <c r="U127" s="24"/>
      <c r="V127" s="24"/>
      <c r="W127" s="24"/>
      <c r="X127" s="24"/>
      <c r="Y127" s="24"/>
      <c r="Z127" s="24"/>
      <c r="AA127" s="88"/>
      <c r="AB127" s="88"/>
      <c r="AC127" s="88"/>
      <c r="AD127" s="88"/>
      <c r="AE127" s="88"/>
    </row>
    <row r="128" spans="1:31" ht="13.5" customHeight="1" x14ac:dyDescent="0.3">
      <c r="A128" s="1"/>
      <c r="B128" s="1"/>
      <c r="C128" s="1"/>
      <c r="D128" s="1"/>
      <c r="E128" s="1"/>
      <c r="F128" s="1"/>
      <c r="G128" s="1"/>
      <c r="H128" s="1"/>
      <c r="I128" s="1"/>
      <c r="J128" s="1"/>
      <c r="K128" s="1"/>
      <c r="L128" s="24"/>
      <c r="M128" s="24"/>
      <c r="N128" s="24"/>
      <c r="O128" s="24"/>
      <c r="P128" s="24"/>
      <c r="Q128" s="24"/>
      <c r="R128" s="24"/>
      <c r="S128" s="24"/>
      <c r="T128" s="24"/>
      <c r="U128" s="24"/>
      <c r="V128" s="24"/>
      <c r="W128" s="24"/>
      <c r="X128" s="24"/>
      <c r="Y128" s="24"/>
      <c r="Z128" s="24"/>
      <c r="AA128" s="88"/>
      <c r="AB128" s="88"/>
      <c r="AC128" s="88"/>
      <c r="AD128" s="88"/>
      <c r="AE128" s="88"/>
    </row>
    <row r="129" spans="1:31" ht="13.5" customHeight="1" x14ac:dyDescent="0.3">
      <c r="A129" s="1"/>
      <c r="B129" s="1"/>
      <c r="C129" s="1"/>
      <c r="D129" s="1"/>
      <c r="E129" s="1"/>
      <c r="F129" s="1"/>
      <c r="G129" s="1"/>
      <c r="H129" s="1"/>
      <c r="I129" s="1"/>
      <c r="J129" s="1"/>
      <c r="K129" s="1"/>
      <c r="L129" s="24"/>
      <c r="M129" s="24"/>
      <c r="N129" s="24"/>
      <c r="O129" s="24"/>
      <c r="P129" s="24"/>
      <c r="Q129" s="24"/>
      <c r="R129" s="24"/>
      <c r="S129" s="24"/>
      <c r="T129" s="24"/>
      <c r="U129" s="24"/>
      <c r="V129" s="24"/>
      <c r="W129" s="24"/>
      <c r="X129" s="24"/>
      <c r="Y129" s="24"/>
      <c r="Z129" s="24"/>
      <c r="AA129" s="88"/>
      <c r="AB129" s="88"/>
      <c r="AC129" s="88"/>
      <c r="AD129" s="88"/>
      <c r="AE129" s="88"/>
    </row>
    <row r="130" spans="1:31" ht="13.5" customHeight="1" x14ac:dyDescent="0.3">
      <c r="A130" s="1"/>
      <c r="B130" s="1"/>
      <c r="C130" s="1"/>
      <c r="D130" s="1"/>
      <c r="E130" s="1"/>
      <c r="F130" s="1"/>
      <c r="G130" s="1"/>
      <c r="H130" s="1"/>
      <c r="I130" s="1"/>
      <c r="J130" s="1"/>
      <c r="K130" s="1"/>
      <c r="L130" s="24"/>
      <c r="M130" s="24"/>
      <c r="N130" s="24"/>
      <c r="O130" s="24"/>
      <c r="P130" s="24"/>
      <c r="Q130" s="24"/>
      <c r="R130" s="24"/>
      <c r="S130" s="24"/>
      <c r="T130" s="24"/>
      <c r="U130" s="24"/>
      <c r="V130" s="24"/>
      <c r="W130" s="24"/>
      <c r="X130" s="24"/>
      <c r="Y130" s="24"/>
      <c r="Z130" s="24"/>
      <c r="AA130" s="88"/>
      <c r="AB130" s="88"/>
      <c r="AC130" s="88"/>
      <c r="AD130" s="88"/>
      <c r="AE130" s="88"/>
    </row>
    <row r="131" spans="1:31" ht="13.5" customHeight="1" x14ac:dyDescent="0.3">
      <c r="A131" s="1"/>
      <c r="B131" s="1"/>
      <c r="C131" s="1"/>
      <c r="D131" s="1"/>
      <c r="E131" s="1"/>
      <c r="F131" s="1"/>
      <c r="G131" s="1"/>
      <c r="H131" s="1"/>
      <c r="I131" s="1"/>
      <c r="J131" s="1"/>
      <c r="K131" s="1"/>
      <c r="L131" s="24"/>
      <c r="M131" s="24"/>
      <c r="N131" s="24"/>
      <c r="O131" s="24"/>
      <c r="P131" s="24"/>
      <c r="Q131" s="24"/>
      <c r="R131" s="24"/>
      <c r="S131" s="24"/>
      <c r="T131" s="24"/>
      <c r="U131" s="24"/>
      <c r="V131" s="24"/>
      <c r="W131" s="24"/>
      <c r="X131" s="24"/>
      <c r="Y131" s="24"/>
      <c r="Z131" s="24"/>
      <c r="AA131" s="88"/>
      <c r="AB131" s="88"/>
      <c r="AC131" s="88"/>
      <c r="AD131" s="88"/>
      <c r="AE131" s="88"/>
    </row>
    <row r="132" spans="1:31" ht="13.5" customHeight="1" x14ac:dyDescent="0.3">
      <c r="A132" s="1"/>
      <c r="B132" s="1"/>
      <c r="C132" s="1"/>
      <c r="D132" s="1"/>
      <c r="E132" s="1"/>
      <c r="F132" s="1"/>
      <c r="G132" s="1"/>
      <c r="H132" s="1"/>
      <c r="I132" s="1"/>
      <c r="J132" s="1"/>
      <c r="K132" s="1"/>
      <c r="L132" s="24"/>
      <c r="M132" s="24"/>
      <c r="N132" s="24"/>
      <c r="O132" s="24"/>
      <c r="P132" s="24"/>
      <c r="Q132" s="24"/>
      <c r="R132" s="24"/>
      <c r="S132" s="24"/>
      <c r="T132" s="24"/>
      <c r="U132" s="24"/>
      <c r="V132" s="24"/>
      <c r="W132" s="24"/>
      <c r="X132" s="24"/>
      <c r="Y132" s="24"/>
      <c r="Z132" s="24"/>
      <c r="AA132" s="88"/>
      <c r="AB132" s="88"/>
      <c r="AC132" s="88"/>
      <c r="AD132" s="88"/>
      <c r="AE132" s="88"/>
    </row>
    <row r="133" spans="1:31" ht="13.5" customHeight="1" x14ac:dyDescent="0.3">
      <c r="A133" s="1"/>
      <c r="B133" s="1"/>
      <c r="C133" s="1"/>
      <c r="D133" s="1"/>
      <c r="E133" s="1"/>
      <c r="F133" s="1"/>
      <c r="G133" s="1"/>
      <c r="H133" s="1"/>
      <c r="I133" s="1"/>
      <c r="J133" s="1"/>
      <c r="K133" s="1"/>
      <c r="L133" s="24"/>
      <c r="M133" s="24"/>
      <c r="N133" s="24"/>
      <c r="O133" s="24"/>
      <c r="P133" s="24"/>
      <c r="Q133" s="24"/>
      <c r="R133" s="24"/>
      <c r="S133" s="24"/>
      <c r="T133" s="24"/>
      <c r="U133" s="24"/>
      <c r="V133" s="24"/>
      <c r="W133" s="24"/>
      <c r="X133" s="24"/>
      <c r="Y133" s="24"/>
      <c r="Z133" s="24"/>
      <c r="AA133" s="88"/>
      <c r="AB133" s="88"/>
      <c r="AC133" s="88"/>
      <c r="AD133" s="88"/>
      <c r="AE133" s="88"/>
    </row>
    <row r="134" spans="1:31" ht="13.5" customHeight="1" x14ac:dyDescent="0.3">
      <c r="A134" s="1"/>
      <c r="B134" s="1"/>
      <c r="C134" s="1"/>
      <c r="D134" s="1"/>
      <c r="E134" s="1"/>
      <c r="F134" s="1"/>
      <c r="G134" s="1"/>
      <c r="H134" s="1"/>
      <c r="I134" s="1"/>
      <c r="J134" s="1"/>
      <c r="K134" s="1"/>
      <c r="L134" s="24"/>
      <c r="M134" s="24"/>
      <c r="N134" s="24"/>
      <c r="O134" s="24"/>
      <c r="P134" s="24"/>
      <c r="Q134" s="24"/>
      <c r="R134" s="24"/>
      <c r="S134" s="24"/>
      <c r="T134" s="24"/>
      <c r="U134" s="24"/>
      <c r="V134" s="24"/>
      <c r="W134" s="24"/>
      <c r="X134" s="24"/>
      <c r="Y134" s="24"/>
      <c r="Z134" s="24"/>
      <c r="AA134" s="88"/>
      <c r="AB134" s="88"/>
      <c r="AC134" s="88"/>
      <c r="AD134" s="88"/>
      <c r="AE134" s="88"/>
    </row>
    <row r="135" spans="1:31" ht="13.5" customHeight="1" x14ac:dyDescent="0.3">
      <c r="A135" s="1"/>
      <c r="B135" s="1"/>
      <c r="C135" s="1"/>
      <c r="D135" s="1"/>
      <c r="E135" s="1"/>
      <c r="F135" s="1"/>
      <c r="G135" s="1"/>
      <c r="H135" s="1"/>
      <c r="I135" s="1"/>
      <c r="J135" s="1"/>
      <c r="K135" s="1"/>
      <c r="L135" s="24"/>
      <c r="M135" s="24"/>
      <c r="N135" s="24"/>
      <c r="O135" s="24"/>
      <c r="P135" s="24"/>
      <c r="Q135" s="24"/>
      <c r="R135" s="24"/>
      <c r="S135" s="24"/>
      <c r="T135" s="24"/>
      <c r="U135" s="24"/>
      <c r="V135" s="24"/>
      <c r="W135" s="24"/>
      <c r="X135" s="24"/>
      <c r="Y135" s="24"/>
      <c r="Z135" s="24"/>
      <c r="AA135" s="88"/>
      <c r="AB135" s="88"/>
      <c r="AC135" s="88"/>
      <c r="AD135" s="88"/>
      <c r="AE135" s="88"/>
    </row>
    <row r="136" spans="1:31" ht="13.5" customHeight="1" x14ac:dyDescent="0.3">
      <c r="A136" s="1"/>
      <c r="B136" s="1"/>
      <c r="C136" s="1"/>
      <c r="D136" s="1"/>
      <c r="E136" s="1"/>
      <c r="F136" s="1"/>
      <c r="G136" s="1"/>
      <c r="H136" s="1"/>
      <c r="I136" s="1"/>
      <c r="J136" s="1"/>
      <c r="K136" s="1"/>
      <c r="L136" s="24"/>
      <c r="M136" s="24"/>
      <c r="N136" s="24"/>
      <c r="O136" s="24"/>
      <c r="P136" s="24"/>
      <c r="Q136" s="24"/>
      <c r="R136" s="24"/>
      <c r="S136" s="24"/>
      <c r="T136" s="24"/>
      <c r="U136" s="24"/>
      <c r="V136" s="24"/>
      <c r="W136" s="24"/>
      <c r="X136" s="24"/>
      <c r="Y136" s="24"/>
      <c r="Z136" s="24"/>
      <c r="AA136" s="88"/>
      <c r="AB136" s="88"/>
      <c r="AC136" s="88"/>
      <c r="AD136" s="88"/>
      <c r="AE136" s="88"/>
    </row>
    <row r="137" spans="1:31" ht="13.5" customHeight="1" x14ac:dyDescent="0.3">
      <c r="A137" s="1"/>
      <c r="B137" s="1"/>
      <c r="C137" s="1"/>
      <c r="D137" s="1"/>
      <c r="E137" s="1"/>
      <c r="F137" s="1"/>
      <c r="G137" s="1"/>
      <c r="H137" s="1"/>
      <c r="I137" s="1"/>
      <c r="J137" s="1"/>
      <c r="K137" s="1"/>
      <c r="L137" s="24"/>
      <c r="M137" s="24"/>
      <c r="N137" s="24"/>
      <c r="O137" s="24"/>
      <c r="P137" s="24"/>
      <c r="Q137" s="24"/>
      <c r="R137" s="24"/>
      <c r="S137" s="24"/>
      <c r="T137" s="24"/>
      <c r="U137" s="24"/>
      <c r="V137" s="24"/>
      <c r="W137" s="24"/>
      <c r="X137" s="24"/>
      <c r="Y137" s="24"/>
      <c r="Z137" s="24"/>
      <c r="AA137" s="88"/>
      <c r="AB137" s="88"/>
      <c r="AC137" s="88"/>
      <c r="AD137" s="88"/>
      <c r="AE137" s="88"/>
    </row>
    <row r="138" spans="1:31" ht="13.5" customHeight="1" x14ac:dyDescent="0.3">
      <c r="A138" s="1"/>
      <c r="B138" s="1"/>
      <c r="C138" s="1"/>
      <c r="D138" s="1"/>
      <c r="E138" s="1"/>
      <c r="F138" s="1"/>
      <c r="G138" s="1"/>
      <c r="H138" s="1"/>
      <c r="I138" s="1"/>
      <c r="J138" s="1"/>
      <c r="K138" s="1"/>
      <c r="L138" s="24"/>
      <c r="M138" s="24"/>
      <c r="N138" s="24"/>
      <c r="O138" s="24"/>
      <c r="P138" s="24"/>
      <c r="Q138" s="24"/>
      <c r="R138" s="24"/>
      <c r="S138" s="24"/>
      <c r="T138" s="24"/>
      <c r="U138" s="24"/>
      <c r="V138" s="24"/>
      <c r="W138" s="24"/>
      <c r="X138" s="24"/>
      <c r="Y138" s="24"/>
      <c r="Z138" s="24"/>
      <c r="AA138" s="88"/>
      <c r="AB138" s="88"/>
      <c r="AC138" s="88"/>
      <c r="AD138" s="88"/>
      <c r="AE138" s="88"/>
    </row>
    <row r="139" spans="1:31" ht="13.5" customHeight="1" x14ac:dyDescent="0.3">
      <c r="A139" s="1"/>
      <c r="B139" s="1"/>
      <c r="C139" s="1"/>
      <c r="D139" s="1"/>
      <c r="E139" s="1"/>
      <c r="F139" s="1"/>
      <c r="G139" s="1"/>
      <c r="H139" s="1"/>
      <c r="I139" s="1"/>
      <c r="J139" s="1"/>
      <c r="K139" s="1"/>
      <c r="L139" s="24"/>
      <c r="M139" s="24"/>
      <c r="N139" s="24"/>
      <c r="O139" s="24"/>
      <c r="P139" s="24"/>
      <c r="Q139" s="24"/>
      <c r="R139" s="24"/>
      <c r="S139" s="24"/>
      <c r="T139" s="24"/>
      <c r="U139" s="24"/>
      <c r="V139" s="24"/>
      <c r="W139" s="24"/>
      <c r="X139" s="24"/>
      <c r="Y139" s="24"/>
      <c r="Z139" s="24"/>
      <c r="AA139" s="88"/>
      <c r="AB139" s="88"/>
      <c r="AC139" s="88"/>
      <c r="AD139" s="88"/>
      <c r="AE139" s="88"/>
    </row>
    <row r="140" spans="1:31" ht="13.5" customHeight="1" x14ac:dyDescent="0.3">
      <c r="A140" s="1"/>
      <c r="B140" s="1"/>
      <c r="C140" s="1"/>
      <c r="D140" s="1"/>
      <c r="E140" s="1"/>
      <c r="F140" s="1"/>
      <c r="G140" s="1"/>
      <c r="H140" s="1"/>
      <c r="I140" s="1"/>
      <c r="J140" s="1"/>
      <c r="K140" s="1"/>
      <c r="L140" s="24"/>
      <c r="M140" s="24"/>
      <c r="N140" s="24"/>
      <c r="O140" s="24"/>
      <c r="P140" s="24"/>
      <c r="Q140" s="24"/>
      <c r="R140" s="24"/>
      <c r="S140" s="24"/>
      <c r="T140" s="24"/>
      <c r="U140" s="24"/>
      <c r="V140" s="24"/>
      <c r="W140" s="24"/>
      <c r="X140" s="24"/>
      <c r="Y140" s="24"/>
      <c r="Z140" s="24"/>
      <c r="AA140" s="88"/>
      <c r="AB140" s="88"/>
      <c r="AC140" s="88"/>
      <c r="AD140" s="88"/>
      <c r="AE140" s="88"/>
    </row>
    <row r="141" spans="1:31" ht="13.5" customHeight="1" x14ac:dyDescent="0.3">
      <c r="A141" s="1"/>
      <c r="B141" s="1"/>
      <c r="C141" s="1"/>
      <c r="D141" s="1"/>
      <c r="E141" s="1"/>
      <c r="F141" s="1"/>
      <c r="G141" s="1"/>
      <c r="H141" s="1"/>
      <c r="I141" s="1"/>
      <c r="J141" s="1"/>
      <c r="K141" s="1"/>
      <c r="L141" s="24"/>
      <c r="M141" s="24"/>
      <c r="N141" s="24"/>
      <c r="O141" s="24"/>
      <c r="P141" s="24"/>
      <c r="Q141" s="24"/>
      <c r="R141" s="24"/>
      <c r="S141" s="24"/>
      <c r="T141" s="24"/>
      <c r="U141" s="24"/>
      <c r="V141" s="24"/>
      <c r="W141" s="24"/>
      <c r="X141" s="24"/>
      <c r="Y141" s="24"/>
      <c r="Z141" s="24"/>
      <c r="AA141" s="88"/>
      <c r="AB141" s="88"/>
      <c r="AC141" s="88"/>
      <c r="AD141" s="88"/>
      <c r="AE141" s="88"/>
    </row>
    <row r="142" spans="1:31" ht="13.5" customHeight="1" x14ac:dyDescent="0.3">
      <c r="A142" s="1"/>
      <c r="B142" s="1"/>
      <c r="C142" s="1"/>
      <c r="D142" s="1"/>
      <c r="E142" s="1"/>
      <c r="F142" s="1"/>
      <c r="G142" s="1"/>
      <c r="H142" s="1"/>
      <c r="I142" s="1"/>
      <c r="J142" s="1"/>
      <c r="K142" s="1"/>
      <c r="L142" s="24"/>
      <c r="M142" s="24"/>
      <c r="N142" s="24"/>
      <c r="O142" s="24"/>
      <c r="P142" s="24"/>
      <c r="Q142" s="24"/>
      <c r="R142" s="24"/>
      <c r="S142" s="24"/>
      <c r="T142" s="24"/>
      <c r="U142" s="24"/>
      <c r="V142" s="24"/>
      <c r="W142" s="24"/>
      <c r="X142" s="24"/>
      <c r="Y142" s="24"/>
      <c r="Z142" s="24"/>
      <c r="AA142" s="88"/>
      <c r="AB142" s="88"/>
      <c r="AC142" s="88"/>
      <c r="AD142" s="88"/>
      <c r="AE142" s="88"/>
    </row>
    <row r="143" spans="1:31" ht="13.5" customHeight="1" x14ac:dyDescent="0.3">
      <c r="A143" s="1"/>
      <c r="B143" s="1"/>
      <c r="C143" s="1"/>
      <c r="D143" s="1"/>
      <c r="E143" s="1"/>
      <c r="F143" s="1"/>
      <c r="G143" s="1"/>
      <c r="H143" s="1"/>
      <c r="I143" s="1"/>
      <c r="J143" s="1"/>
      <c r="K143" s="1"/>
      <c r="L143" s="24"/>
      <c r="M143" s="24"/>
      <c r="N143" s="24"/>
      <c r="O143" s="24"/>
      <c r="P143" s="24"/>
      <c r="Q143" s="24"/>
      <c r="R143" s="24"/>
      <c r="S143" s="24"/>
      <c r="T143" s="24"/>
      <c r="U143" s="24"/>
      <c r="V143" s="24"/>
      <c r="W143" s="24"/>
      <c r="X143" s="24"/>
      <c r="Y143" s="24"/>
      <c r="Z143" s="24"/>
      <c r="AA143" s="88"/>
      <c r="AB143" s="88"/>
      <c r="AC143" s="88"/>
      <c r="AD143" s="88"/>
      <c r="AE143" s="88"/>
    </row>
    <row r="144" spans="1:31" ht="13.5" customHeight="1" x14ac:dyDescent="0.3">
      <c r="A144" s="1"/>
      <c r="B144" s="1"/>
      <c r="C144" s="1"/>
      <c r="D144" s="1"/>
      <c r="E144" s="1"/>
      <c r="F144" s="1"/>
      <c r="G144" s="1"/>
      <c r="H144" s="1"/>
      <c r="I144" s="1"/>
      <c r="J144" s="1"/>
      <c r="K144" s="1"/>
      <c r="L144" s="24"/>
      <c r="M144" s="24"/>
      <c r="N144" s="24"/>
      <c r="O144" s="24"/>
      <c r="P144" s="24"/>
      <c r="Q144" s="24"/>
      <c r="R144" s="24"/>
      <c r="S144" s="24"/>
      <c r="T144" s="24"/>
      <c r="U144" s="24"/>
      <c r="V144" s="24"/>
      <c r="W144" s="24"/>
      <c r="X144" s="24"/>
      <c r="Y144" s="24"/>
      <c r="Z144" s="24"/>
      <c r="AA144" s="88"/>
      <c r="AB144" s="88"/>
      <c r="AC144" s="88"/>
      <c r="AD144" s="88"/>
      <c r="AE144" s="88"/>
    </row>
    <row r="145" spans="1:31" ht="13.5" customHeight="1" x14ac:dyDescent="0.3">
      <c r="A145" s="1"/>
      <c r="B145" s="1"/>
      <c r="C145" s="1"/>
      <c r="D145" s="1"/>
      <c r="E145" s="1"/>
      <c r="F145" s="1"/>
      <c r="G145" s="1"/>
      <c r="H145" s="1"/>
      <c r="I145" s="1"/>
      <c r="J145" s="1"/>
      <c r="K145" s="1"/>
      <c r="L145" s="24"/>
      <c r="M145" s="24"/>
      <c r="N145" s="24"/>
      <c r="O145" s="24"/>
      <c r="P145" s="24"/>
      <c r="Q145" s="24"/>
      <c r="R145" s="24"/>
      <c r="S145" s="24"/>
      <c r="T145" s="24"/>
      <c r="U145" s="24"/>
      <c r="V145" s="24"/>
      <c r="W145" s="24"/>
      <c r="X145" s="24"/>
      <c r="Y145" s="24"/>
      <c r="Z145" s="24"/>
      <c r="AA145" s="88"/>
      <c r="AB145" s="88"/>
      <c r="AC145" s="88"/>
      <c r="AD145" s="88"/>
      <c r="AE145" s="88"/>
    </row>
    <row r="146" spans="1:31" ht="13.5" customHeight="1" x14ac:dyDescent="0.3">
      <c r="A146" s="1"/>
      <c r="B146" s="1"/>
      <c r="C146" s="1"/>
      <c r="D146" s="1"/>
      <c r="E146" s="1"/>
      <c r="F146" s="1"/>
      <c r="G146" s="1"/>
      <c r="H146" s="1"/>
      <c r="I146" s="1"/>
      <c r="J146" s="1"/>
      <c r="K146" s="1"/>
      <c r="L146" s="24"/>
      <c r="M146" s="24"/>
      <c r="N146" s="24"/>
      <c r="O146" s="24"/>
      <c r="P146" s="24"/>
      <c r="Q146" s="24"/>
      <c r="R146" s="24"/>
      <c r="S146" s="24"/>
      <c r="T146" s="24"/>
      <c r="U146" s="24"/>
      <c r="V146" s="24"/>
      <c r="W146" s="24"/>
      <c r="X146" s="24"/>
      <c r="Y146" s="24"/>
      <c r="Z146" s="24"/>
      <c r="AA146" s="88"/>
      <c r="AB146" s="88"/>
      <c r="AC146" s="88"/>
      <c r="AD146" s="88"/>
      <c r="AE146" s="88"/>
    </row>
    <row r="147" spans="1:31" ht="13.5" customHeight="1" x14ac:dyDescent="0.3">
      <c r="A147" s="1"/>
      <c r="B147" s="1"/>
      <c r="C147" s="1"/>
      <c r="D147" s="1"/>
      <c r="E147" s="1"/>
      <c r="F147" s="1"/>
      <c r="G147" s="1"/>
      <c r="H147" s="1"/>
      <c r="I147" s="1"/>
      <c r="J147" s="1"/>
      <c r="K147" s="1"/>
      <c r="L147" s="24"/>
      <c r="M147" s="24"/>
      <c r="N147" s="24"/>
      <c r="O147" s="24"/>
      <c r="P147" s="24"/>
      <c r="Q147" s="24"/>
      <c r="R147" s="24"/>
      <c r="S147" s="24"/>
      <c r="T147" s="24"/>
      <c r="U147" s="24"/>
      <c r="V147" s="24"/>
      <c r="W147" s="24"/>
      <c r="X147" s="24"/>
      <c r="Y147" s="24"/>
      <c r="Z147" s="24"/>
      <c r="AA147" s="88"/>
      <c r="AB147" s="88"/>
      <c r="AC147" s="88"/>
      <c r="AD147" s="88"/>
      <c r="AE147" s="88"/>
    </row>
    <row r="148" spans="1:31" ht="13.5" customHeight="1" x14ac:dyDescent="0.3">
      <c r="A148" s="1"/>
      <c r="B148" s="1"/>
      <c r="C148" s="1"/>
      <c r="D148" s="1"/>
      <c r="E148" s="1"/>
      <c r="F148" s="1"/>
      <c r="G148" s="1"/>
      <c r="H148" s="1"/>
      <c r="I148" s="1"/>
      <c r="J148" s="1"/>
      <c r="K148" s="1"/>
      <c r="L148" s="24"/>
      <c r="M148" s="24"/>
      <c r="N148" s="24"/>
      <c r="O148" s="24"/>
      <c r="P148" s="24"/>
      <c r="Q148" s="24"/>
      <c r="R148" s="24"/>
      <c r="S148" s="24"/>
      <c r="T148" s="24"/>
      <c r="U148" s="24"/>
      <c r="V148" s="24"/>
      <c r="W148" s="24"/>
      <c r="X148" s="24"/>
      <c r="Y148" s="24"/>
      <c r="Z148" s="24"/>
      <c r="AA148" s="88"/>
      <c r="AB148" s="88"/>
      <c r="AC148" s="88"/>
      <c r="AD148" s="88"/>
      <c r="AE148" s="88"/>
    </row>
    <row r="149" spans="1:31" ht="13.5" customHeight="1" x14ac:dyDescent="0.3">
      <c r="A149" s="1"/>
      <c r="B149" s="1"/>
      <c r="C149" s="1"/>
      <c r="D149" s="1"/>
      <c r="E149" s="1"/>
      <c r="F149" s="1"/>
      <c r="G149" s="1"/>
      <c r="H149" s="1"/>
      <c r="I149" s="1"/>
      <c r="J149" s="1"/>
      <c r="K149" s="1"/>
      <c r="L149" s="24"/>
      <c r="M149" s="24"/>
      <c r="N149" s="24"/>
      <c r="O149" s="24"/>
      <c r="P149" s="24"/>
      <c r="Q149" s="24"/>
      <c r="R149" s="24"/>
      <c r="S149" s="24"/>
      <c r="T149" s="24"/>
      <c r="U149" s="24"/>
      <c r="V149" s="24"/>
      <c r="W149" s="24"/>
      <c r="X149" s="24"/>
      <c r="Y149" s="24"/>
      <c r="Z149" s="24"/>
      <c r="AA149" s="88"/>
      <c r="AB149" s="88"/>
      <c r="AC149" s="88"/>
      <c r="AD149" s="88"/>
      <c r="AE149" s="88"/>
    </row>
    <row r="150" spans="1:31" ht="13.5" customHeight="1" x14ac:dyDescent="0.3">
      <c r="A150" s="1"/>
      <c r="B150" s="1"/>
      <c r="C150" s="1"/>
      <c r="D150" s="1"/>
      <c r="E150" s="1"/>
      <c r="F150" s="1"/>
      <c r="G150" s="1"/>
      <c r="H150" s="1"/>
      <c r="I150" s="1"/>
      <c r="J150" s="1"/>
      <c r="K150" s="1"/>
      <c r="L150" s="24"/>
      <c r="M150" s="24"/>
      <c r="N150" s="24"/>
      <c r="O150" s="24"/>
      <c r="P150" s="24"/>
      <c r="Q150" s="24"/>
      <c r="R150" s="24"/>
      <c r="S150" s="24"/>
      <c r="T150" s="24"/>
      <c r="U150" s="24"/>
      <c r="V150" s="24"/>
      <c r="W150" s="24"/>
      <c r="X150" s="24"/>
      <c r="Y150" s="24"/>
      <c r="Z150" s="24"/>
      <c r="AA150" s="88"/>
      <c r="AB150" s="88"/>
      <c r="AC150" s="88"/>
      <c r="AD150" s="88"/>
      <c r="AE150" s="88"/>
    </row>
    <row r="151" spans="1:31" ht="13.5" customHeight="1" x14ac:dyDescent="0.3">
      <c r="A151" s="1"/>
      <c r="B151" s="1"/>
      <c r="C151" s="1"/>
      <c r="D151" s="1"/>
      <c r="E151" s="1"/>
      <c r="F151" s="1"/>
      <c r="G151" s="1"/>
      <c r="H151" s="1"/>
      <c r="I151" s="1"/>
      <c r="J151" s="1"/>
      <c r="K151" s="1"/>
      <c r="L151" s="24"/>
      <c r="M151" s="24"/>
      <c r="N151" s="24"/>
      <c r="O151" s="24"/>
      <c r="P151" s="24"/>
      <c r="Q151" s="24"/>
      <c r="R151" s="24"/>
      <c r="S151" s="24"/>
      <c r="T151" s="24"/>
      <c r="U151" s="24"/>
      <c r="V151" s="24"/>
      <c r="W151" s="24"/>
      <c r="X151" s="24"/>
      <c r="Y151" s="24"/>
      <c r="Z151" s="24"/>
      <c r="AA151" s="88"/>
      <c r="AB151" s="88"/>
      <c r="AC151" s="88"/>
      <c r="AD151" s="88"/>
      <c r="AE151" s="88"/>
    </row>
    <row r="152" spans="1:31" ht="13.5" customHeight="1" x14ac:dyDescent="0.3">
      <c r="A152" s="1"/>
      <c r="B152" s="1"/>
      <c r="C152" s="1"/>
      <c r="D152" s="1"/>
      <c r="E152" s="1"/>
      <c r="F152" s="1"/>
      <c r="G152" s="1"/>
      <c r="H152" s="1"/>
      <c r="I152" s="1"/>
      <c r="J152" s="1"/>
      <c r="K152" s="1"/>
      <c r="L152" s="24"/>
      <c r="M152" s="24"/>
      <c r="N152" s="24"/>
      <c r="O152" s="24"/>
      <c r="P152" s="24"/>
      <c r="Q152" s="24"/>
      <c r="R152" s="24"/>
      <c r="S152" s="24"/>
      <c r="T152" s="24"/>
      <c r="U152" s="24"/>
      <c r="V152" s="24"/>
      <c r="W152" s="24"/>
      <c r="X152" s="24"/>
      <c r="Y152" s="24"/>
      <c r="Z152" s="24"/>
      <c r="AA152" s="88"/>
      <c r="AB152" s="88"/>
      <c r="AC152" s="88"/>
      <c r="AD152" s="88"/>
      <c r="AE152" s="88"/>
    </row>
    <row r="153" spans="1:31" ht="13.5" customHeight="1" x14ac:dyDescent="0.3">
      <c r="A153" s="1"/>
      <c r="B153" s="1"/>
      <c r="C153" s="1"/>
      <c r="D153" s="1"/>
      <c r="E153" s="1"/>
      <c r="F153" s="1"/>
      <c r="G153" s="1"/>
      <c r="H153" s="1"/>
      <c r="I153" s="1"/>
      <c r="J153" s="1"/>
      <c r="K153" s="1"/>
      <c r="L153" s="24"/>
      <c r="M153" s="24"/>
      <c r="N153" s="24"/>
      <c r="O153" s="24"/>
      <c r="P153" s="24"/>
      <c r="Q153" s="24"/>
      <c r="R153" s="24"/>
      <c r="S153" s="24"/>
      <c r="T153" s="24"/>
      <c r="U153" s="24"/>
      <c r="V153" s="24"/>
      <c r="W153" s="24"/>
      <c r="X153" s="24"/>
      <c r="Y153" s="24"/>
      <c r="Z153" s="24"/>
      <c r="AA153" s="88"/>
      <c r="AB153" s="88"/>
      <c r="AC153" s="88"/>
      <c r="AD153" s="88"/>
      <c r="AE153" s="88"/>
    </row>
    <row r="154" spans="1:31" ht="13.5" customHeight="1" x14ac:dyDescent="0.3">
      <c r="A154" s="1"/>
      <c r="B154" s="1"/>
      <c r="C154" s="1"/>
      <c r="D154" s="1"/>
      <c r="E154" s="1"/>
      <c r="F154" s="1"/>
      <c r="G154" s="1"/>
      <c r="H154" s="1"/>
      <c r="I154" s="1"/>
      <c r="J154" s="1"/>
      <c r="K154" s="1"/>
      <c r="L154" s="24"/>
      <c r="M154" s="24"/>
      <c r="N154" s="24"/>
      <c r="O154" s="24"/>
      <c r="P154" s="24"/>
      <c r="Q154" s="24"/>
      <c r="R154" s="24"/>
      <c r="S154" s="24"/>
      <c r="T154" s="24"/>
      <c r="U154" s="24"/>
      <c r="V154" s="24"/>
      <c r="W154" s="24"/>
      <c r="X154" s="24"/>
      <c r="Y154" s="24"/>
      <c r="Z154" s="24"/>
      <c r="AA154" s="88"/>
      <c r="AB154" s="88"/>
      <c r="AC154" s="88"/>
      <c r="AD154" s="88"/>
      <c r="AE154" s="88"/>
    </row>
    <row r="155" spans="1:31" ht="13.5" customHeight="1" x14ac:dyDescent="0.3">
      <c r="A155" s="1"/>
      <c r="B155" s="1"/>
      <c r="C155" s="1"/>
      <c r="D155" s="1"/>
      <c r="E155" s="1"/>
      <c r="F155" s="1"/>
      <c r="G155" s="1"/>
      <c r="H155" s="1"/>
      <c r="I155" s="1"/>
      <c r="J155" s="1"/>
      <c r="K155" s="1"/>
      <c r="L155" s="24"/>
      <c r="M155" s="24"/>
      <c r="N155" s="24"/>
      <c r="O155" s="24"/>
      <c r="P155" s="24"/>
      <c r="Q155" s="24"/>
      <c r="R155" s="24"/>
      <c r="S155" s="24"/>
      <c r="T155" s="24"/>
      <c r="U155" s="24"/>
      <c r="V155" s="24"/>
      <c r="W155" s="24"/>
      <c r="X155" s="24"/>
      <c r="Y155" s="24"/>
      <c r="Z155" s="24"/>
      <c r="AA155" s="88"/>
      <c r="AB155" s="88"/>
      <c r="AC155" s="88"/>
      <c r="AD155" s="88"/>
      <c r="AE155" s="88"/>
    </row>
    <row r="156" spans="1:31" ht="13.5" customHeight="1" x14ac:dyDescent="0.3">
      <c r="A156" s="1"/>
      <c r="B156" s="1"/>
      <c r="C156" s="1"/>
      <c r="D156" s="1"/>
      <c r="E156" s="1"/>
      <c r="F156" s="1"/>
      <c r="G156" s="1"/>
      <c r="H156" s="1"/>
      <c r="I156" s="1"/>
      <c r="J156" s="1"/>
      <c r="K156" s="1"/>
      <c r="L156" s="24"/>
      <c r="M156" s="24"/>
      <c r="N156" s="24"/>
      <c r="O156" s="24"/>
      <c r="P156" s="24"/>
      <c r="Q156" s="24"/>
      <c r="R156" s="24"/>
      <c r="S156" s="24"/>
      <c r="T156" s="24"/>
      <c r="U156" s="24"/>
      <c r="V156" s="24"/>
      <c r="W156" s="24"/>
      <c r="X156" s="24"/>
      <c r="Y156" s="24"/>
      <c r="Z156" s="24"/>
      <c r="AA156" s="88"/>
      <c r="AB156" s="88"/>
      <c r="AC156" s="88"/>
      <c r="AD156" s="88"/>
      <c r="AE156" s="88"/>
    </row>
    <row r="157" spans="1:31" ht="13.5" customHeight="1" x14ac:dyDescent="0.3">
      <c r="A157" s="1"/>
      <c r="B157" s="1"/>
      <c r="C157" s="1"/>
      <c r="D157" s="1"/>
      <c r="E157" s="1"/>
      <c r="F157" s="1"/>
      <c r="G157" s="1"/>
      <c r="H157" s="1"/>
      <c r="I157" s="1"/>
      <c r="J157" s="1"/>
      <c r="K157" s="1"/>
      <c r="L157" s="24"/>
      <c r="M157" s="24"/>
      <c r="N157" s="24"/>
      <c r="O157" s="24"/>
      <c r="P157" s="24"/>
      <c r="Q157" s="24"/>
      <c r="R157" s="24"/>
      <c r="S157" s="24"/>
      <c r="T157" s="24"/>
      <c r="U157" s="24"/>
      <c r="V157" s="24"/>
      <c r="W157" s="24"/>
      <c r="X157" s="24"/>
      <c r="Y157" s="24"/>
      <c r="Z157" s="24"/>
      <c r="AA157" s="88"/>
      <c r="AB157" s="88"/>
      <c r="AC157" s="88"/>
      <c r="AD157" s="88"/>
      <c r="AE157" s="88"/>
    </row>
    <row r="158" spans="1:31" ht="13.5" customHeight="1" x14ac:dyDescent="0.3">
      <c r="A158" s="1"/>
      <c r="B158" s="1"/>
      <c r="C158" s="1"/>
      <c r="D158" s="1"/>
      <c r="E158" s="1"/>
      <c r="F158" s="1"/>
      <c r="G158" s="1"/>
      <c r="H158" s="1"/>
      <c r="I158" s="1"/>
      <c r="J158" s="1"/>
      <c r="K158" s="1"/>
      <c r="L158" s="24"/>
      <c r="M158" s="24"/>
      <c r="N158" s="24"/>
      <c r="O158" s="24"/>
      <c r="P158" s="24"/>
      <c r="Q158" s="24"/>
      <c r="R158" s="24"/>
      <c r="S158" s="24"/>
      <c r="T158" s="24"/>
      <c r="U158" s="24"/>
      <c r="V158" s="24"/>
      <c r="W158" s="24"/>
      <c r="X158" s="24"/>
      <c r="Y158" s="24"/>
      <c r="Z158" s="24"/>
      <c r="AA158" s="88"/>
      <c r="AB158" s="88"/>
      <c r="AC158" s="88"/>
      <c r="AD158" s="88"/>
      <c r="AE158" s="88"/>
    </row>
    <row r="159" spans="1:31" ht="13.5" customHeight="1" x14ac:dyDescent="0.3">
      <c r="A159" s="1"/>
      <c r="B159" s="1"/>
      <c r="C159" s="1"/>
      <c r="D159" s="1"/>
      <c r="E159" s="1"/>
      <c r="F159" s="1"/>
      <c r="G159" s="1"/>
      <c r="H159" s="1"/>
      <c r="I159" s="1"/>
      <c r="J159" s="1"/>
      <c r="K159" s="1"/>
      <c r="L159" s="24"/>
      <c r="M159" s="24"/>
      <c r="N159" s="24"/>
      <c r="O159" s="24"/>
      <c r="P159" s="24"/>
      <c r="Q159" s="24"/>
      <c r="R159" s="24"/>
      <c r="S159" s="24"/>
      <c r="T159" s="24"/>
      <c r="U159" s="24"/>
      <c r="V159" s="24"/>
      <c r="W159" s="24"/>
      <c r="X159" s="24"/>
      <c r="Y159" s="24"/>
      <c r="Z159" s="24"/>
      <c r="AA159" s="88"/>
      <c r="AB159" s="88"/>
      <c r="AC159" s="88"/>
      <c r="AD159" s="88"/>
      <c r="AE159" s="88"/>
    </row>
    <row r="160" spans="1:31" ht="13.5" customHeight="1" x14ac:dyDescent="0.3">
      <c r="A160" s="1"/>
      <c r="B160" s="1"/>
      <c r="C160" s="1"/>
      <c r="D160" s="1"/>
      <c r="E160" s="1"/>
      <c r="F160" s="1"/>
      <c r="G160" s="1"/>
      <c r="H160" s="1"/>
      <c r="I160" s="1"/>
      <c r="J160" s="1"/>
      <c r="K160" s="1"/>
      <c r="L160" s="24"/>
      <c r="M160" s="24"/>
      <c r="N160" s="24"/>
      <c r="O160" s="24"/>
      <c r="P160" s="24"/>
      <c r="Q160" s="24"/>
      <c r="R160" s="24"/>
      <c r="S160" s="24"/>
      <c r="T160" s="24"/>
      <c r="U160" s="24"/>
      <c r="V160" s="24"/>
      <c r="W160" s="24"/>
      <c r="X160" s="24"/>
      <c r="Y160" s="24"/>
      <c r="Z160" s="24"/>
      <c r="AA160" s="88"/>
      <c r="AB160" s="88"/>
      <c r="AC160" s="88"/>
      <c r="AD160" s="88"/>
      <c r="AE160" s="88"/>
    </row>
    <row r="161" spans="1:31" ht="13.5" customHeight="1" x14ac:dyDescent="0.3">
      <c r="A161" s="1"/>
      <c r="B161" s="1"/>
      <c r="C161" s="1"/>
      <c r="D161" s="1"/>
      <c r="E161" s="1"/>
      <c r="F161" s="1"/>
      <c r="G161" s="1"/>
      <c r="H161" s="1"/>
      <c r="I161" s="1"/>
      <c r="J161" s="1"/>
      <c r="K161" s="1"/>
      <c r="L161" s="24"/>
      <c r="M161" s="24"/>
      <c r="N161" s="24"/>
      <c r="O161" s="24"/>
      <c r="P161" s="24"/>
      <c r="Q161" s="24"/>
      <c r="R161" s="24"/>
      <c r="S161" s="24"/>
      <c r="T161" s="24"/>
      <c r="U161" s="24"/>
      <c r="V161" s="24"/>
      <c r="W161" s="24"/>
      <c r="X161" s="24"/>
      <c r="Y161" s="24"/>
      <c r="Z161" s="24"/>
      <c r="AA161" s="88"/>
      <c r="AB161" s="88"/>
      <c r="AC161" s="88"/>
      <c r="AD161" s="88"/>
      <c r="AE161" s="88"/>
    </row>
    <row r="162" spans="1:31" ht="13.5" customHeight="1" x14ac:dyDescent="0.3">
      <c r="A162" s="1"/>
      <c r="B162" s="1"/>
      <c r="C162" s="1"/>
      <c r="D162" s="1"/>
      <c r="E162" s="1"/>
      <c r="F162" s="1"/>
      <c r="G162" s="1"/>
      <c r="H162" s="1"/>
      <c r="I162" s="1"/>
      <c r="J162" s="1"/>
      <c r="K162" s="1"/>
      <c r="L162" s="24"/>
      <c r="M162" s="24"/>
      <c r="N162" s="24"/>
      <c r="O162" s="24"/>
      <c r="P162" s="24"/>
      <c r="Q162" s="24"/>
      <c r="R162" s="24"/>
      <c r="S162" s="24"/>
      <c r="T162" s="24"/>
      <c r="U162" s="24"/>
      <c r="V162" s="24"/>
      <c r="W162" s="24"/>
      <c r="X162" s="24"/>
      <c r="Y162" s="24"/>
      <c r="Z162" s="24"/>
      <c r="AA162" s="88"/>
      <c r="AB162" s="88"/>
      <c r="AC162" s="88"/>
      <c r="AD162" s="88"/>
      <c r="AE162" s="88"/>
    </row>
    <row r="163" spans="1:31" ht="13.5" customHeight="1" x14ac:dyDescent="0.3">
      <c r="A163" s="1"/>
      <c r="B163" s="1"/>
      <c r="C163" s="1"/>
      <c r="D163" s="1"/>
      <c r="E163" s="1"/>
      <c r="F163" s="1"/>
      <c r="G163" s="1"/>
      <c r="H163" s="1"/>
      <c r="I163" s="1"/>
      <c r="J163" s="1"/>
      <c r="K163" s="1"/>
      <c r="L163" s="24"/>
      <c r="M163" s="24"/>
      <c r="N163" s="24"/>
      <c r="O163" s="24"/>
      <c r="P163" s="24"/>
      <c r="Q163" s="24"/>
      <c r="R163" s="24"/>
      <c r="S163" s="24"/>
      <c r="T163" s="24"/>
      <c r="U163" s="24"/>
      <c r="V163" s="24"/>
      <c r="W163" s="24"/>
      <c r="X163" s="24"/>
      <c r="Y163" s="24"/>
      <c r="Z163" s="24"/>
      <c r="AA163" s="88"/>
      <c r="AB163" s="88"/>
      <c r="AC163" s="88"/>
      <c r="AD163" s="88"/>
      <c r="AE163" s="88"/>
    </row>
    <row r="164" spans="1:31" ht="13.5" customHeight="1" x14ac:dyDescent="0.3">
      <c r="A164" s="1"/>
      <c r="B164" s="1"/>
      <c r="C164" s="1"/>
      <c r="D164" s="1"/>
      <c r="E164" s="1"/>
      <c r="F164" s="1"/>
      <c r="G164" s="1"/>
      <c r="H164" s="1"/>
      <c r="I164" s="1"/>
      <c r="J164" s="1"/>
      <c r="K164" s="1"/>
      <c r="L164" s="24"/>
      <c r="M164" s="24"/>
      <c r="N164" s="24"/>
      <c r="O164" s="24"/>
      <c r="P164" s="24"/>
      <c r="Q164" s="24"/>
      <c r="R164" s="24"/>
      <c r="S164" s="24"/>
      <c r="T164" s="24"/>
      <c r="U164" s="24"/>
      <c r="V164" s="24"/>
      <c r="W164" s="24"/>
      <c r="X164" s="24"/>
      <c r="Y164" s="24"/>
      <c r="Z164" s="24"/>
      <c r="AA164" s="88"/>
      <c r="AB164" s="88"/>
      <c r="AC164" s="88"/>
      <c r="AD164" s="88"/>
      <c r="AE164" s="88"/>
    </row>
    <row r="165" spans="1:31" ht="13.5" customHeight="1" x14ac:dyDescent="0.3">
      <c r="A165" s="1"/>
      <c r="B165" s="1"/>
      <c r="C165" s="1"/>
      <c r="D165" s="1"/>
      <c r="E165" s="1"/>
      <c r="F165" s="1"/>
      <c r="G165" s="1"/>
      <c r="H165" s="1"/>
      <c r="I165" s="1"/>
      <c r="J165" s="1"/>
      <c r="K165" s="1"/>
      <c r="L165" s="24"/>
      <c r="M165" s="24"/>
      <c r="N165" s="24"/>
      <c r="O165" s="24"/>
      <c r="P165" s="24"/>
      <c r="Q165" s="24"/>
      <c r="R165" s="24"/>
      <c r="S165" s="24"/>
      <c r="T165" s="24"/>
      <c r="U165" s="24"/>
      <c r="V165" s="24"/>
      <c r="W165" s="24"/>
      <c r="X165" s="24"/>
      <c r="Y165" s="24"/>
      <c r="Z165" s="24"/>
      <c r="AA165" s="88"/>
      <c r="AB165" s="88"/>
      <c r="AC165" s="88"/>
      <c r="AD165" s="88"/>
      <c r="AE165" s="88"/>
    </row>
    <row r="166" spans="1:31" ht="13.5" customHeight="1" x14ac:dyDescent="0.3">
      <c r="A166" s="1"/>
      <c r="B166" s="1"/>
      <c r="C166" s="1"/>
      <c r="D166" s="1"/>
      <c r="E166" s="1"/>
      <c r="F166" s="1"/>
      <c r="G166" s="1"/>
      <c r="H166" s="1"/>
      <c r="I166" s="1"/>
      <c r="J166" s="1"/>
      <c r="K166" s="1"/>
      <c r="L166" s="24"/>
      <c r="M166" s="24"/>
      <c r="N166" s="24"/>
      <c r="O166" s="24"/>
      <c r="P166" s="24"/>
      <c r="Q166" s="24"/>
      <c r="R166" s="24"/>
      <c r="S166" s="24"/>
      <c r="T166" s="24"/>
      <c r="U166" s="24"/>
      <c r="V166" s="24"/>
      <c r="W166" s="24"/>
      <c r="X166" s="24"/>
      <c r="Y166" s="24"/>
      <c r="Z166" s="24"/>
      <c r="AA166" s="88"/>
      <c r="AB166" s="88"/>
      <c r="AC166" s="88"/>
      <c r="AD166" s="88"/>
      <c r="AE166" s="88"/>
    </row>
    <row r="167" spans="1:31" ht="13.5" customHeight="1" x14ac:dyDescent="0.3">
      <c r="A167" s="1"/>
      <c r="B167" s="1"/>
      <c r="C167" s="1"/>
      <c r="D167" s="1"/>
      <c r="E167" s="1"/>
      <c r="F167" s="1"/>
      <c r="G167" s="1"/>
      <c r="H167" s="1"/>
      <c r="I167" s="1"/>
      <c r="J167" s="1"/>
      <c r="K167" s="1"/>
      <c r="L167" s="24"/>
      <c r="M167" s="24"/>
      <c r="N167" s="24"/>
      <c r="O167" s="24"/>
      <c r="P167" s="24"/>
      <c r="Q167" s="24"/>
      <c r="R167" s="24"/>
      <c r="S167" s="24"/>
      <c r="T167" s="24"/>
      <c r="U167" s="24"/>
      <c r="V167" s="24"/>
      <c r="W167" s="24"/>
      <c r="X167" s="24"/>
      <c r="Y167" s="24"/>
      <c r="Z167" s="24"/>
      <c r="AA167" s="88"/>
      <c r="AB167" s="88"/>
      <c r="AC167" s="88"/>
      <c r="AD167" s="88"/>
      <c r="AE167" s="88"/>
    </row>
    <row r="168" spans="1:31" ht="13.5" customHeight="1" x14ac:dyDescent="0.3">
      <c r="A168" s="1"/>
      <c r="B168" s="1"/>
      <c r="C168" s="1"/>
      <c r="D168" s="1"/>
      <c r="E168" s="1"/>
      <c r="F168" s="1"/>
      <c r="G168" s="1"/>
      <c r="H168" s="1"/>
      <c r="I168" s="1"/>
      <c r="J168" s="1"/>
      <c r="K168" s="1"/>
      <c r="L168" s="24"/>
      <c r="M168" s="24"/>
      <c r="N168" s="24"/>
      <c r="O168" s="24"/>
      <c r="P168" s="24"/>
      <c r="Q168" s="24"/>
      <c r="R168" s="24"/>
      <c r="S168" s="24"/>
      <c r="T168" s="24"/>
      <c r="U168" s="24"/>
      <c r="V168" s="24"/>
      <c r="W168" s="24"/>
      <c r="X168" s="24"/>
      <c r="Y168" s="24"/>
      <c r="Z168" s="24"/>
      <c r="AA168" s="88"/>
      <c r="AB168" s="88"/>
      <c r="AC168" s="88"/>
      <c r="AD168" s="88"/>
      <c r="AE168" s="88"/>
    </row>
    <row r="169" spans="1:31" ht="13.5" customHeight="1" x14ac:dyDescent="0.3">
      <c r="A169" s="1"/>
      <c r="B169" s="1"/>
      <c r="C169" s="1"/>
      <c r="D169" s="1"/>
      <c r="E169" s="1"/>
      <c r="F169" s="1"/>
      <c r="G169" s="1"/>
      <c r="H169" s="1"/>
      <c r="I169" s="1"/>
      <c r="J169" s="1"/>
      <c r="K169" s="1"/>
      <c r="L169" s="24"/>
      <c r="M169" s="24"/>
      <c r="N169" s="24"/>
      <c r="O169" s="24"/>
      <c r="P169" s="24"/>
      <c r="Q169" s="24"/>
      <c r="R169" s="24"/>
      <c r="S169" s="24"/>
      <c r="T169" s="24"/>
      <c r="U169" s="24"/>
      <c r="V169" s="24"/>
      <c r="W169" s="24"/>
      <c r="X169" s="24"/>
      <c r="Y169" s="24"/>
      <c r="Z169" s="24"/>
      <c r="AA169" s="88"/>
      <c r="AB169" s="88"/>
      <c r="AC169" s="88"/>
      <c r="AD169" s="88"/>
      <c r="AE169" s="88"/>
    </row>
    <row r="170" spans="1:31" ht="13.5" customHeight="1" x14ac:dyDescent="0.3">
      <c r="A170" s="1"/>
      <c r="B170" s="1"/>
      <c r="C170" s="1"/>
      <c r="D170" s="1"/>
      <c r="E170" s="1"/>
      <c r="F170" s="1"/>
      <c r="G170" s="1"/>
      <c r="H170" s="1"/>
      <c r="I170" s="1"/>
      <c r="J170" s="1"/>
      <c r="K170" s="1"/>
      <c r="L170" s="24"/>
      <c r="M170" s="24"/>
      <c r="N170" s="24"/>
      <c r="O170" s="24"/>
      <c r="P170" s="24"/>
      <c r="Q170" s="24"/>
      <c r="R170" s="24"/>
      <c r="S170" s="24"/>
      <c r="T170" s="24"/>
      <c r="U170" s="24"/>
      <c r="V170" s="24"/>
      <c r="W170" s="24"/>
      <c r="X170" s="24"/>
      <c r="Y170" s="24"/>
      <c r="Z170" s="24"/>
      <c r="AA170" s="88"/>
      <c r="AB170" s="88"/>
      <c r="AC170" s="88"/>
      <c r="AD170" s="88"/>
      <c r="AE170" s="88"/>
    </row>
    <row r="171" spans="1:31" ht="13.5" customHeight="1" x14ac:dyDescent="0.3">
      <c r="A171" s="1"/>
      <c r="B171" s="1"/>
      <c r="C171" s="1"/>
      <c r="D171" s="1"/>
      <c r="E171" s="1"/>
      <c r="F171" s="1"/>
      <c r="G171" s="1"/>
      <c r="H171" s="1"/>
      <c r="I171" s="1"/>
      <c r="J171" s="1"/>
      <c r="K171" s="1"/>
      <c r="L171" s="24"/>
      <c r="M171" s="24"/>
      <c r="N171" s="24"/>
      <c r="O171" s="24"/>
      <c r="P171" s="24"/>
      <c r="Q171" s="24"/>
      <c r="R171" s="24"/>
      <c r="S171" s="24"/>
      <c r="T171" s="24"/>
      <c r="U171" s="24"/>
      <c r="V171" s="24"/>
      <c r="W171" s="24"/>
      <c r="X171" s="24"/>
      <c r="Y171" s="24"/>
      <c r="Z171" s="24"/>
      <c r="AA171" s="88"/>
      <c r="AB171" s="88"/>
      <c r="AC171" s="88"/>
      <c r="AD171" s="88"/>
      <c r="AE171" s="88"/>
    </row>
    <row r="172" spans="1:31" ht="13.5" customHeight="1" x14ac:dyDescent="0.3">
      <c r="A172" s="1"/>
      <c r="B172" s="1"/>
      <c r="C172" s="1"/>
      <c r="D172" s="1"/>
      <c r="E172" s="1"/>
      <c r="F172" s="1"/>
      <c r="G172" s="1"/>
      <c r="H172" s="1"/>
      <c r="I172" s="1"/>
      <c r="J172" s="1"/>
      <c r="K172" s="1"/>
      <c r="L172" s="24"/>
      <c r="M172" s="24"/>
      <c r="N172" s="24"/>
      <c r="O172" s="24"/>
      <c r="P172" s="24"/>
      <c r="Q172" s="24"/>
      <c r="R172" s="24"/>
      <c r="S172" s="24"/>
      <c r="T172" s="24"/>
      <c r="U172" s="24"/>
      <c r="V172" s="24"/>
      <c r="W172" s="24"/>
      <c r="X172" s="24"/>
      <c r="Y172" s="24"/>
      <c r="Z172" s="24"/>
      <c r="AA172" s="88"/>
      <c r="AB172" s="88"/>
      <c r="AC172" s="88"/>
      <c r="AD172" s="88"/>
      <c r="AE172" s="88"/>
    </row>
    <row r="173" spans="1:31" ht="13.5" customHeight="1" x14ac:dyDescent="0.3">
      <c r="A173" s="1"/>
      <c r="B173" s="1"/>
      <c r="C173" s="1"/>
      <c r="D173" s="1"/>
      <c r="E173" s="1"/>
      <c r="F173" s="1"/>
      <c r="G173" s="1"/>
      <c r="H173" s="1"/>
      <c r="I173" s="1"/>
      <c r="J173" s="1"/>
      <c r="K173" s="1"/>
      <c r="L173" s="24"/>
      <c r="M173" s="24"/>
      <c r="N173" s="24"/>
      <c r="O173" s="24"/>
      <c r="P173" s="24"/>
      <c r="Q173" s="24"/>
      <c r="R173" s="24"/>
      <c r="S173" s="24"/>
      <c r="T173" s="24"/>
      <c r="U173" s="24"/>
      <c r="V173" s="24"/>
      <c r="W173" s="24"/>
      <c r="X173" s="24"/>
      <c r="Y173" s="24"/>
      <c r="Z173" s="24"/>
      <c r="AA173" s="88"/>
      <c r="AB173" s="88"/>
      <c r="AC173" s="88"/>
      <c r="AD173" s="88"/>
      <c r="AE173" s="88"/>
    </row>
    <row r="174" spans="1:31" ht="13.5" customHeight="1" x14ac:dyDescent="0.3">
      <c r="A174" s="1"/>
      <c r="B174" s="1"/>
      <c r="C174" s="1"/>
      <c r="D174" s="1"/>
      <c r="E174" s="1"/>
      <c r="F174" s="1"/>
      <c r="G174" s="1"/>
      <c r="H174" s="1"/>
      <c r="I174" s="1"/>
      <c r="J174" s="1"/>
      <c r="K174" s="1"/>
      <c r="L174" s="24"/>
      <c r="M174" s="24"/>
      <c r="N174" s="24"/>
      <c r="O174" s="24"/>
      <c r="P174" s="24"/>
      <c r="Q174" s="24"/>
      <c r="R174" s="24"/>
      <c r="S174" s="24"/>
      <c r="T174" s="24"/>
      <c r="U174" s="24"/>
      <c r="V174" s="24"/>
      <c r="W174" s="24"/>
      <c r="X174" s="24"/>
      <c r="Y174" s="24"/>
      <c r="Z174" s="24"/>
      <c r="AA174" s="88"/>
      <c r="AB174" s="88"/>
      <c r="AC174" s="88"/>
      <c r="AD174" s="88"/>
      <c r="AE174" s="88"/>
    </row>
    <row r="175" spans="1:31" ht="13.5" customHeight="1" x14ac:dyDescent="0.3">
      <c r="A175" s="1"/>
      <c r="B175" s="1"/>
      <c r="C175" s="1"/>
      <c r="D175" s="1"/>
      <c r="E175" s="1"/>
      <c r="F175" s="1"/>
      <c r="G175" s="1"/>
      <c r="H175" s="1"/>
      <c r="I175" s="1"/>
      <c r="J175" s="1"/>
      <c r="K175" s="1"/>
      <c r="L175" s="24"/>
      <c r="M175" s="24"/>
      <c r="N175" s="24"/>
      <c r="O175" s="24"/>
      <c r="P175" s="24"/>
      <c r="Q175" s="24"/>
      <c r="R175" s="24"/>
      <c r="S175" s="24"/>
      <c r="T175" s="24"/>
      <c r="U175" s="24"/>
      <c r="V175" s="24"/>
      <c r="W175" s="24"/>
      <c r="X175" s="24"/>
      <c r="Y175" s="24"/>
      <c r="Z175" s="24"/>
      <c r="AA175" s="88"/>
      <c r="AB175" s="88"/>
      <c r="AC175" s="88"/>
      <c r="AD175" s="88"/>
      <c r="AE175" s="88"/>
    </row>
    <row r="176" spans="1:31" ht="13.5" customHeight="1" x14ac:dyDescent="0.3">
      <c r="A176" s="1"/>
      <c r="B176" s="1"/>
      <c r="C176" s="1"/>
      <c r="D176" s="1"/>
      <c r="E176" s="1"/>
      <c r="F176" s="1"/>
      <c r="G176" s="1"/>
      <c r="H176" s="1"/>
      <c r="I176" s="1"/>
      <c r="J176" s="1"/>
      <c r="K176" s="1"/>
      <c r="L176" s="24"/>
      <c r="M176" s="24"/>
      <c r="N176" s="24"/>
      <c r="O176" s="24"/>
      <c r="P176" s="24"/>
      <c r="Q176" s="24"/>
      <c r="R176" s="24"/>
      <c r="S176" s="24"/>
      <c r="T176" s="24"/>
      <c r="U176" s="24"/>
      <c r="V176" s="24"/>
      <c r="W176" s="24"/>
      <c r="X176" s="24"/>
      <c r="Y176" s="24"/>
      <c r="Z176" s="24"/>
      <c r="AA176" s="88"/>
      <c r="AB176" s="88"/>
      <c r="AC176" s="88"/>
      <c r="AD176" s="88"/>
      <c r="AE176" s="88"/>
    </row>
    <row r="177" spans="1:31" ht="13.5" customHeight="1" x14ac:dyDescent="0.3">
      <c r="A177" s="1"/>
      <c r="B177" s="1"/>
      <c r="C177" s="1"/>
      <c r="D177" s="1"/>
      <c r="E177" s="1"/>
      <c r="F177" s="1"/>
      <c r="G177" s="1"/>
      <c r="H177" s="1"/>
      <c r="I177" s="1"/>
      <c r="J177" s="1"/>
      <c r="K177" s="1"/>
      <c r="L177" s="24"/>
      <c r="M177" s="24"/>
      <c r="N177" s="24"/>
      <c r="O177" s="24"/>
      <c r="P177" s="24"/>
      <c r="Q177" s="24"/>
      <c r="R177" s="24"/>
      <c r="S177" s="24"/>
      <c r="T177" s="24"/>
      <c r="U177" s="24"/>
      <c r="V177" s="24"/>
      <c r="W177" s="24"/>
      <c r="X177" s="24"/>
      <c r="Y177" s="24"/>
      <c r="Z177" s="24"/>
      <c r="AA177" s="88"/>
      <c r="AB177" s="88"/>
      <c r="AC177" s="88"/>
      <c r="AD177" s="88"/>
      <c r="AE177" s="88"/>
    </row>
    <row r="178" spans="1:31" ht="13.5" customHeight="1" x14ac:dyDescent="0.3">
      <c r="A178" s="1"/>
      <c r="B178" s="1"/>
      <c r="C178" s="1"/>
      <c r="D178" s="1"/>
      <c r="E178" s="1"/>
      <c r="F178" s="1"/>
      <c r="G178" s="1"/>
      <c r="H178" s="1"/>
      <c r="I178" s="1"/>
      <c r="J178" s="1"/>
      <c r="K178" s="1"/>
      <c r="L178" s="24"/>
      <c r="M178" s="24"/>
      <c r="N178" s="24"/>
      <c r="O178" s="24"/>
      <c r="P178" s="24"/>
      <c r="Q178" s="24"/>
      <c r="R178" s="24"/>
      <c r="S178" s="24"/>
      <c r="T178" s="24"/>
      <c r="U178" s="24"/>
      <c r="V178" s="24"/>
      <c r="W178" s="24"/>
      <c r="X178" s="24"/>
      <c r="Y178" s="24"/>
      <c r="Z178" s="24"/>
      <c r="AA178" s="88"/>
      <c r="AB178" s="88"/>
      <c r="AC178" s="88"/>
      <c r="AD178" s="88"/>
      <c r="AE178" s="88"/>
    </row>
    <row r="179" spans="1:31" ht="13.5" customHeight="1" x14ac:dyDescent="0.3">
      <c r="A179" s="1"/>
      <c r="B179" s="1"/>
      <c r="C179" s="1"/>
      <c r="D179" s="1"/>
      <c r="E179" s="1"/>
      <c r="F179" s="1"/>
      <c r="G179" s="1"/>
      <c r="H179" s="1"/>
      <c r="I179" s="1"/>
      <c r="J179" s="1"/>
      <c r="K179" s="1"/>
      <c r="L179" s="24"/>
      <c r="M179" s="24"/>
      <c r="N179" s="24"/>
      <c r="O179" s="24"/>
      <c r="P179" s="24"/>
      <c r="Q179" s="24"/>
      <c r="R179" s="24"/>
      <c r="S179" s="24"/>
      <c r="T179" s="24"/>
      <c r="U179" s="24"/>
      <c r="V179" s="24"/>
      <c r="W179" s="24"/>
      <c r="X179" s="24"/>
      <c r="Y179" s="24"/>
      <c r="Z179" s="24"/>
      <c r="AA179" s="88"/>
      <c r="AB179" s="88"/>
      <c r="AC179" s="88"/>
      <c r="AD179" s="88"/>
      <c r="AE179" s="88"/>
    </row>
    <row r="180" spans="1:31" ht="13.5" customHeight="1" x14ac:dyDescent="0.3">
      <c r="A180" s="1"/>
      <c r="B180" s="1"/>
      <c r="C180" s="1"/>
      <c r="D180" s="1"/>
      <c r="E180" s="1"/>
      <c r="F180" s="1"/>
      <c r="G180" s="1"/>
      <c r="H180" s="1"/>
      <c r="I180" s="1"/>
      <c r="J180" s="1"/>
      <c r="K180" s="1"/>
      <c r="L180" s="24"/>
      <c r="M180" s="24"/>
      <c r="N180" s="24"/>
      <c r="O180" s="24"/>
      <c r="P180" s="24"/>
      <c r="Q180" s="24"/>
      <c r="R180" s="24"/>
      <c r="S180" s="24"/>
      <c r="T180" s="24"/>
      <c r="U180" s="24"/>
      <c r="V180" s="24"/>
      <c r="W180" s="24"/>
      <c r="X180" s="24"/>
      <c r="Y180" s="24"/>
      <c r="Z180" s="24"/>
      <c r="AA180" s="88"/>
      <c r="AB180" s="88"/>
      <c r="AC180" s="88"/>
      <c r="AD180" s="88"/>
      <c r="AE180" s="88"/>
    </row>
    <row r="181" spans="1:31" ht="13.5" customHeight="1" x14ac:dyDescent="0.3">
      <c r="A181" s="1"/>
      <c r="B181" s="1"/>
      <c r="C181" s="1"/>
      <c r="D181" s="1"/>
      <c r="E181" s="1"/>
      <c r="F181" s="1"/>
      <c r="G181" s="1"/>
      <c r="H181" s="1"/>
      <c r="I181" s="1"/>
      <c r="J181" s="1"/>
      <c r="K181" s="1"/>
      <c r="L181" s="24"/>
      <c r="M181" s="24"/>
      <c r="N181" s="24"/>
      <c r="O181" s="24"/>
      <c r="P181" s="24"/>
      <c r="Q181" s="24"/>
      <c r="R181" s="24"/>
      <c r="S181" s="24"/>
      <c r="T181" s="24"/>
      <c r="U181" s="24"/>
      <c r="V181" s="24"/>
      <c r="W181" s="24"/>
      <c r="X181" s="24"/>
      <c r="Y181" s="24"/>
      <c r="Z181" s="24"/>
      <c r="AA181" s="88"/>
      <c r="AB181" s="88"/>
      <c r="AC181" s="88"/>
      <c r="AD181" s="88"/>
      <c r="AE181" s="88"/>
    </row>
    <row r="182" spans="1:31" ht="13.5" customHeight="1" x14ac:dyDescent="0.3">
      <c r="A182" s="1"/>
      <c r="B182" s="1"/>
      <c r="C182" s="1"/>
      <c r="D182" s="1"/>
      <c r="E182" s="1"/>
      <c r="F182" s="1"/>
      <c r="G182" s="1"/>
      <c r="H182" s="1"/>
      <c r="I182" s="1"/>
      <c r="J182" s="1"/>
      <c r="K182" s="1"/>
      <c r="L182" s="24"/>
      <c r="M182" s="24"/>
      <c r="N182" s="24"/>
      <c r="O182" s="24"/>
      <c r="P182" s="24"/>
      <c r="Q182" s="24"/>
      <c r="R182" s="24"/>
      <c r="S182" s="24"/>
      <c r="T182" s="24"/>
      <c r="U182" s="24"/>
      <c r="V182" s="24"/>
      <c r="W182" s="24"/>
      <c r="X182" s="24"/>
      <c r="Y182" s="24"/>
      <c r="Z182" s="24"/>
      <c r="AA182" s="88"/>
      <c r="AB182" s="88"/>
      <c r="AC182" s="88"/>
      <c r="AD182" s="88"/>
      <c r="AE182" s="88"/>
    </row>
    <row r="183" spans="1:31" ht="13.5" customHeight="1" x14ac:dyDescent="0.3">
      <c r="A183" s="1"/>
      <c r="B183" s="1"/>
      <c r="C183" s="1"/>
      <c r="D183" s="1"/>
      <c r="E183" s="1"/>
      <c r="F183" s="1"/>
      <c r="G183" s="1"/>
      <c r="H183" s="1"/>
      <c r="I183" s="1"/>
      <c r="J183" s="1"/>
      <c r="K183" s="1"/>
      <c r="L183" s="24"/>
      <c r="M183" s="24"/>
      <c r="N183" s="24"/>
      <c r="O183" s="24"/>
      <c r="P183" s="24"/>
      <c r="Q183" s="24"/>
      <c r="R183" s="24"/>
      <c r="S183" s="24"/>
      <c r="T183" s="24"/>
      <c r="U183" s="24"/>
      <c r="V183" s="24"/>
      <c r="W183" s="24"/>
      <c r="X183" s="24"/>
      <c r="Y183" s="24"/>
      <c r="Z183" s="24"/>
      <c r="AA183" s="88"/>
      <c r="AB183" s="88"/>
      <c r="AC183" s="88"/>
      <c r="AD183" s="88"/>
      <c r="AE183" s="88"/>
    </row>
    <row r="184" spans="1:31" ht="13.5" customHeight="1" x14ac:dyDescent="0.3">
      <c r="A184" s="1"/>
      <c r="B184" s="1"/>
      <c r="C184" s="1"/>
      <c r="D184" s="1"/>
      <c r="E184" s="1"/>
      <c r="F184" s="1"/>
      <c r="G184" s="1"/>
      <c r="H184" s="1"/>
      <c r="I184" s="1"/>
      <c r="J184" s="1"/>
      <c r="K184" s="1"/>
      <c r="L184" s="24"/>
      <c r="M184" s="24"/>
      <c r="N184" s="24"/>
      <c r="O184" s="24"/>
      <c r="P184" s="24"/>
      <c r="Q184" s="24"/>
      <c r="R184" s="24"/>
      <c r="S184" s="24"/>
      <c r="T184" s="24"/>
      <c r="U184" s="24"/>
      <c r="V184" s="24"/>
      <c r="W184" s="24"/>
      <c r="X184" s="24"/>
      <c r="Y184" s="24"/>
      <c r="Z184" s="24"/>
      <c r="AA184" s="88"/>
      <c r="AB184" s="88"/>
      <c r="AC184" s="88"/>
      <c r="AD184" s="88"/>
      <c r="AE184" s="88"/>
    </row>
    <row r="185" spans="1:31" ht="13.5" customHeight="1" x14ac:dyDescent="0.3">
      <c r="A185" s="1"/>
      <c r="B185" s="1"/>
      <c r="C185" s="1"/>
      <c r="D185" s="1"/>
      <c r="E185" s="1"/>
      <c r="F185" s="1"/>
      <c r="G185" s="1"/>
      <c r="H185" s="1"/>
      <c r="I185" s="1"/>
      <c r="J185" s="1"/>
      <c r="K185" s="1"/>
      <c r="L185" s="24"/>
      <c r="M185" s="24"/>
      <c r="N185" s="24"/>
      <c r="O185" s="24"/>
      <c r="P185" s="24"/>
      <c r="Q185" s="24"/>
      <c r="R185" s="24"/>
      <c r="S185" s="24"/>
      <c r="T185" s="24"/>
      <c r="U185" s="24"/>
      <c r="V185" s="24"/>
      <c r="W185" s="24"/>
      <c r="X185" s="24"/>
      <c r="Y185" s="24"/>
      <c r="Z185" s="24"/>
      <c r="AA185" s="88"/>
      <c r="AB185" s="88"/>
      <c r="AC185" s="88"/>
      <c r="AD185" s="88"/>
      <c r="AE185" s="88"/>
    </row>
    <row r="186" spans="1:31" ht="13.5" customHeight="1" x14ac:dyDescent="0.3">
      <c r="A186" s="1"/>
      <c r="B186" s="1"/>
      <c r="C186" s="1"/>
      <c r="D186" s="1"/>
      <c r="E186" s="1"/>
      <c r="F186" s="1"/>
      <c r="G186" s="1"/>
      <c r="H186" s="1"/>
      <c r="I186" s="1"/>
      <c r="J186" s="1"/>
      <c r="K186" s="1"/>
      <c r="L186" s="24"/>
      <c r="M186" s="24"/>
      <c r="N186" s="24"/>
      <c r="O186" s="24"/>
      <c r="P186" s="24"/>
      <c r="Q186" s="24"/>
      <c r="R186" s="24"/>
      <c r="S186" s="24"/>
      <c r="T186" s="24"/>
      <c r="U186" s="24"/>
      <c r="V186" s="24"/>
      <c r="W186" s="24"/>
      <c r="X186" s="24"/>
      <c r="Y186" s="24"/>
      <c r="Z186" s="24"/>
      <c r="AA186" s="88"/>
      <c r="AB186" s="88"/>
      <c r="AC186" s="88"/>
      <c r="AD186" s="88"/>
      <c r="AE186" s="88"/>
    </row>
    <row r="187" spans="1:31" ht="13.5" customHeight="1" x14ac:dyDescent="0.3">
      <c r="A187" s="1"/>
      <c r="B187" s="1"/>
      <c r="C187" s="1"/>
      <c r="D187" s="1"/>
      <c r="E187" s="1"/>
      <c r="F187" s="1"/>
      <c r="G187" s="1"/>
      <c r="H187" s="1"/>
      <c r="I187" s="1"/>
      <c r="J187" s="1"/>
      <c r="K187" s="1"/>
      <c r="L187" s="24"/>
      <c r="M187" s="24"/>
      <c r="N187" s="24"/>
      <c r="O187" s="24"/>
      <c r="P187" s="24"/>
      <c r="Q187" s="24"/>
      <c r="R187" s="24"/>
      <c r="S187" s="24"/>
      <c r="T187" s="24"/>
      <c r="U187" s="24"/>
      <c r="V187" s="24"/>
      <c r="W187" s="24"/>
      <c r="X187" s="24"/>
      <c r="Y187" s="24"/>
      <c r="Z187" s="24"/>
      <c r="AA187" s="88"/>
      <c r="AB187" s="88"/>
      <c r="AC187" s="88"/>
      <c r="AD187" s="88"/>
      <c r="AE187" s="88"/>
    </row>
    <row r="188" spans="1:31" ht="13.5" customHeight="1" x14ac:dyDescent="0.3">
      <c r="A188" s="1"/>
      <c r="B188" s="1"/>
      <c r="C188" s="1"/>
      <c r="D188" s="1"/>
      <c r="E188" s="1"/>
      <c r="F188" s="1"/>
      <c r="G188" s="1"/>
      <c r="H188" s="1"/>
      <c r="I188" s="1"/>
      <c r="J188" s="1"/>
      <c r="K188" s="1"/>
      <c r="L188" s="24"/>
      <c r="M188" s="24"/>
      <c r="N188" s="24"/>
      <c r="O188" s="24"/>
      <c r="P188" s="24"/>
      <c r="Q188" s="24"/>
      <c r="R188" s="24"/>
      <c r="S188" s="24"/>
      <c r="T188" s="24"/>
      <c r="U188" s="24"/>
      <c r="V188" s="24"/>
      <c r="W188" s="24"/>
      <c r="X188" s="24"/>
      <c r="Y188" s="24"/>
      <c r="Z188" s="24"/>
      <c r="AA188" s="88"/>
      <c r="AB188" s="88"/>
      <c r="AC188" s="88"/>
      <c r="AD188" s="88"/>
      <c r="AE188" s="88"/>
    </row>
    <row r="189" spans="1:31" ht="13.5" customHeight="1" x14ac:dyDescent="0.3">
      <c r="A189" s="1"/>
      <c r="B189" s="1"/>
      <c r="C189" s="1"/>
      <c r="D189" s="1"/>
      <c r="E189" s="1"/>
      <c r="F189" s="1"/>
      <c r="G189" s="1"/>
      <c r="H189" s="1"/>
      <c r="I189" s="1"/>
      <c r="J189" s="1"/>
      <c r="K189" s="1"/>
      <c r="L189" s="24"/>
      <c r="M189" s="24"/>
      <c r="N189" s="24"/>
      <c r="O189" s="24"/>
      <c r="P189" s="24"/>
      <c r="Q189" s="24"/>
      <c r="R189" s="24"/>
      <c r="S189" s="24"/>
      <c r="T189" s="24"/>
      <c r="U189" s="24"/>
      <c r="V189" s="24"/>
      <c r="W189" s="24"/>
      <c r="X189" s="24"/>
      <c r="Y189" s="24"/>
      <c r="Z189" s="24"/>
      <c r="AA189" s="88"/>
      <c r="AB189" s="88"/>
      <c r="AC189" s="88"/>
      <c r="AD189" s="88"/>
      <c r="AE189" s="88"/>
    </row>
    <row r="190" spans="1:31" ht="13.5" customHeight="1" x14ac:dyDescent="0.3">
      <c r="A190" s="1"/>
      <c r="B190" s="1"/>
      <c r="C190" s="1"/>
      <c r="D190" s="1"/>
      <c r="E190" s="1"/>
      <c r="F190" s="1"/>
      <c r="G190" s="1"/>
      <c r="H190" s="1"/>
      <c r="I190" s="1"/>
      <c r="J190" s="1"/>
      <c r="K190" s="1"/>
      <c r="L190" s="24"/>
      <c r="M190" s="24"/>
      <c r="N190" s="24"/>
      <c r="O190" s="24"/>
      <c r="P190" s="24"/>
      <c r="Q190" s="24"/>
      <c r="R190" s="24"/>
      <c r="S190" s="24"/>
      <c r="T190" s="24"/>
      <c r="U190" s="24"/>
      <c r="V190" s="24"/>
      <c r="W190" s="24"/>
      <c r="X190" s="24"/>
      <c r="Y190" s="24"/>
      <c r="Z190" s="24"/>
      <c r="AA190" s="88"/>
      <c r="AB190" s="88"/>
      <c r="AC190" s="88"/>
      <c r="AD190" s="88"/>
      <c r="AE190" s="88"/>
    </row>
    <row r="191" spans="1:31" ht="13.5" customHeight="1" x14ac:dyDescent="0.3">
      <c r="A191" s="1"/>
      <c r="B191" s="1"/>
      <c r="C191" s="1"/>
      <c r="D191" s="1"/>
      <c r="E191" s="1"/>
      <c r="F191" s="1"/>
      <c r="G191" s="1"/>
      <c r="H191" s="1"/>
      <c r="I191" s="1"/>
      <c r="J191" s="1"/>
      <c r="K191" s="1"/>
      <c r="L191" s="24"/>
      <c r="M191" s="24"/>
      <c r="N191" s="24"/>
      <c r="O191" s="24"/>
      <c r="P191" s="24"/>
      <c r="Q191" s="24"/>
      <c r="R191" s="24"/>
      <c r="S191" s="24"/>
      <c r="T191" s="24"/>
      <c r="U191" s="24"/>
      <c r="V191" s="24"/>
      <c r="W191" s="24"/>
      <c r="X191" s="24"/>
      <c r="Y191" s="24"/>
      <c r="Z191" s="24"/>
      <c r="AA191" s="88"/>
      <c r="AB191" s="88"/>
      <c r="AC191" s="88"/>
      <c r="AD191" s="88"/>
      <c r="AE191" s="88"/>
    </row>
    <row r="192" spans="1:31" ht="13.5" customHeight="1" x14ac:dyDescent="0.3">
      <c r="A192" s="1"/>
      <c r="B192" s="1"/>
      <c r="C192" s="1"/>
      <c r="D192" s="1"/>
      <c r="E192" s="1"/>
      <c r="F192" s="1"/>
      <c r="G192" s="1"/>
      <c r="H192" s="1"/>
      <c r="I192" s="1"/>
      <c r="J192" s="1"/>
      <c r="K192" s="1"/>
      <c r="L192" s="24"/>
      <c r="M192" s="24"/>
      <c r="N192" s="24"/>
      <c r="O192" s="24"/>
      <c r="P192" s="24"/>
      <c r="Q192" s="24"/>
      <c r="R192" s="24"/>
      <c r="S192" s="24"/>
      <c r="T192" s="24"/>
      <c r="U192" s="24"/>
      <c r="V192" s="24"/>
      <c r="W192" s="24"/>
      <c r="X192" s="24"/>
      <c r="Y192" s="24"/>
      <c r="Z192" s="24"/>
      <c r="AA192" s="88"/>
      <c r="AB192" s="88"/>
      <c r="AC192" s="88"/>
      <c r="AD192" s="88"/>
      <c r="AE192" s="88"/>
    </row>
    <row r="193" spans="1:31" ht="13.5" customHeight="1" x14ac:dyDescent="0.3">
      <c r="A193" s="1"/>
      <c r="B193" s="1"/>
      <c r="C193" s="1"/>
      <c r="D193" s="1"/>
      <c r="E193" s="1"/>
      <c r="F193" s="1"/>
      <c r="G193" s="1"/>
      <c r="H193" s="1"/>
      <c r="I193" s="1"/>
      <c r="J193" s="1"/>
      <c r="K193" s="1"/>
      <c r="L193" s="24"/>
      <c r="M193" s="24"/>
      <c r="N193" s="24"/>
      <c r="O193" s="24"/>
      <c r="P193" s="24"/>
      <c r="Q193" s="24"/>
      <c r="R193" s="24"/>
      <c r="S193" s="24"/>
      <c r="T193" s="24"/>
      <c r="U193" s="24"/>
      <c r="V193" s="24"/>
      <c r="W193" s="24"/>
      <c r="X193" s="24"/>
      <c r="Y193" s="24"/>
      <c r="Z193" s="24"/>
      <c r="AA193" s="88"/>
      <c r="AB193" s="88"/>
      <c r="AC193" s="88"/>
      <c r="AD193" s="88"/>
      <c r="AE193" s="88"/>
    </row>
    <row r="194" spans="1:31" ht="13.5" customHeight="1" x14ac:dyDescent="0.3">
      <c r="A194" s="1"/>
      <c r="B194" s="1"/>
      <c r="C194" s="1"/>
      <c r="D194" s="1"/>
      <c r="E194" s="1"/>
      <c r="F194" s="1"/>
      <c r="G194" s="1"/>
      <c r="H194" s="1"/>
      <c r="I194" s="1"/>
      <c r="J194" s="1"/>
      <c r="K194" s="1"/>
      <c r="L194" s="24"/>
      <c r="M194" s="24"/>
      <c r="N194" s="24"/>
      <c r="O194" s="24"/>
      <c r="P194" s="24"/>
      <c r="Q194" s="24"/>
      <c r="R194" s="24"/>
      <c r="S194" s="24"/>
      <c r="T194" s="24"/>
      <c r="U194" s="24"/>
      <c r="V194" s="24"/>
      <c r="W194" s="24"/>
      <c r="X194" s="24"/>
      <c r="Y194" s="24"/>
      <c r="Z194" s="24"/>
      <c r="AA194" s="88"/>
      <c r="AB194" s="88"/>
      <c r="AC194" s="88"/>
      <c r="AD194" s="88"/>
      <c r="AE194" s="88"/>
    </row>
    <row r="195" spans="1:31" ht="13.5" customHeight="1" x14ac:dyDescent="0.3">
      <c r="A195" s="1"/>
      <c r="B195" s="1"/>
      <c r="C195" s="1"/>
      <c r="D195" s="1"/>
      <c r="E195" s="1"/>
      <c r="F195" s="1"/>
      <c r="G195" s="1"/>
      <c r="H195" s="1"/>
      <c r="I195" s="1"/>
      <c r="J195" s="1"/>
      <c r="K195" s="1"/>
      <c r="L195" s="24"/>
      <c r="M195" s="24"/>
      <c r="N195" s="24"/>
      <c r="O195" s="24"/>
      <c r="P195" s="24"/>
      <c r="Q195" s="24"/>
      <c r="R195" s="24"/>
      <c r="S195" s="24"/>
      <c r="T195" s="24"/>
      <c r="U195" s="24"/>
      <c r="V195" s="24"/>
      <c r="W195" s="24"/>
      <c r="X195" s="24"/>
      <c r="Y195" s="24"/>
      <c r="Z195" s="24"/>
      <c r="AA195" s="88"/>
      <c r="AB195" s="88"/>
      <c r="AC195" s="88"/>
      <c r="AD195" s="88"/>
      <c r="AE195" s="88"/>
    </row>
    <row r="196" spans="1:31" ht="13.5" customHeight="1" x14ac:dyDescent="0.3">
      <c r="A196" s="1"/>
      <c r="B196" s="1"/>
      <c r="C196" s="1"/>
      <c r="D196" s="1"/>
      <c r="E196" s="1"/>
      <c r="F196" s="1"/>
      <c r="G196" s="1"/>
      <c r="H196" s="1"/>
      <c r="I196" s="1"/>
      <c r="J196" s="1"/>
      <c r="K196" s="1"/>
      <c r="L196" s="24"/>
      <c r="M196" s="24"/>
      <c r="N196" s="24"/>
      <c r="O196" s="24"/>
      <c r="P196" s="24"/>
      <c r="Q196" s="24"/>
      <c r="R196" s="24"/>
      <c r="S196" s="24"/>
      <c r="T196" s="24"/>
      <c r="U196" s="24"/>
      <c r="V196" s="24"/>
      <c r="W196" s="24"/>
      <c r="X196" s="24"/>
      <c r="Y196" s="24"/>
      <c r="Z196" s="24"/>
      <c r="AA196" s="88"/>
      <c r="AB196" s="88"/>
      <c r="AC196" s="88"/>
      <c r="AD196" s="88"/>
      <c r="AE196" s="88"/>
    </row>
    <row r="197" spans="1:31" ht="13.5" customHeight="1" x14ac:dyDescent="0.3">
      <c r="A197" s="1"/>
      <c r="B197" s="1"/>
      <c r="C197" s="1"/>
      <c r="D197" s="1"/>
      <c r="E197" s="1"/>
      <c r="F197" s="1"/>
      <c r="G197" s="1"/>
      <c r="H197" s="1"/>
      <c r="I197" s="1"/>
      <c r="J197" s="1"/>
      <c r="K197" s="1"/>
      <c r="L197" s="24"/>
      <c r="M197" s="24"/>
      <c r="N197" s="24"/>
      <c r="O197" s="24"/>
      <c r="P197" s="24"/>
      <c r="Q197" s="24"/>
      <c r="R197" s="24"/>
      <c r="S197" s="24"/>
      <c r="T197" s="24"/>
      <c r="U197" s="24"/>
      <c r="V197" s="24"/>
      <c r="W197" s="24"/>
      <c r="X197" s="24"/>
      <c r="Y197" s="24"/>
      <c r="Z197" s="24"/>
      <c r="AA197" s="88"/>
      <c r="AB197" s="88"/>
      <c r="AC197" s="88"/>
      <c r="AD197" s="88"/>
      <c r="AE197" s="88"/>
    </row>
    <row r="198" spans="1:31" ht="13.5" customHeight="1" x14ac:dyDescent="0.3">
      <c r="A198" s="1"/>
      <c r="B198" s="1"/>
      <c r="C198" s="1"/>
      <c r="D198" s="1"/>
      <c r="E198" s="1"/>
      <c r="F198" s="1"/>
      <c r="G198" s="1"/>
      <c r="H198" s="1"/>
      <c r="I198" s="1"/>
      <c r="J198" s="1"/>
      <c r="K198" s="1"/>
      <c r="L198" s="24"/>
      <c r="M198" s="24"/>
      <c r="N198" s="24"/>
      <c r="O198" s="24"/>
      <c r="P198" s="24"/>
      <c r="Q198" s="24"/>
      <c r="R198" s="24"/>
      <c r="S198" s="24"/>
      <c r="T198" s="24"/>
      <c r="U198" s="24"/>
      <c r="V198" s="24"/>
      <c r="W198" s="24"/>
      <c r="X198" s="24"/>
      <c r="Y198" s="24"/>
      <c r="Z198" s="24"/>
      <c r="AA198" s="88"/>
      <c r="AB198" s="88"/>
      <c r="AC198" s="88"/>
      <c r="AD198" s="88"/>
      <c r="AE198" s="88"/>
    </row>
    <row r="199" spans="1:31" ht="13.5" customHeight="1" x14ac:dyDescent="0.3">
      <c r="A199" s="1"/>
      <c r="B199" s="1"/>
      <c r="C199" s="1"/>
      <c r="D199" s="1"/>
      <c r="E199" s="1"/>
      <c r="F199" s="1"/>
      <c r="G199" s="1"/>
      <c r="H199" s="1"/>
      <c r="I199" s="1"/>
      <c r="J199" s="1"/>
      <c r="K199" s="1"/>
      <c r="L199" s="24"/>
      <c r="M199" s="24"/>
      <c r="N199" s="24"/>
      <c r="O199" s="24"/>
      <c r="P199" s="24"/>
      <c r="Q199" s="24"/>
      <c r="R199" s="24"/>
      <c r="S199" s="24"/>
      <c r="T199" s="24"/>
      <c r="U199" s="24"/>
      <c r="V199" s="24"/>
      <c r="W199" s="24"/>
      <c r="X199" s="24"/>
      <c r="Y199" s="24"/>
      <c r="Z199" s="24"/>
      <c r="AA199" s="88"/>
      <c r="AB199" s="88"/>
      <c r="AC199" s="88"/>
      <c r="AD199" s="88"/>
      <c r="AE199" s="88"/>
    </row>
    <row r="200" spans="1:31" ht="13.5" customHeight="1" x14ac:dyDescent="0.3">
      <c r="A200" s="1"/>
      <c r="B200" s="1"/>
      <c r="C200" s="1"/>
      <c r="D200" s="1"/>
      <c r="E200" s="1"/>
      <c r="F200" s="1"/>
      <c r="G200" s="1"/>
      <c r="H200" s="1"/>
      <c r="I200" s="1"/>
      <c r="J200" s="1"/>
      <c r="K200" s="1"/>
      <c r="L200" s="24"/>
      <c r="M200" s="24"/>
      <c r="N200" s="24"/>
      <c r="O200" s="24"/>
      <c r="P200" s="24"/>
      <c r="Q200" s="24"/>
      <c r="R200" s="24"/>
      <c r="S200" s="24"/>
      <c r="T200" s="24"/>
      <c r="U200" s="24"/>
      <c r="V200" s="24"/>
      <c r="W200" s="24"/>
      <c r="X200" s="24"/>
      <c r="Y200" s="24"/>
      <c r="Z200" s="24"/>
      <c r="AA200" s="88"/>
      <c r="AB200" s="88"/>
      <c r="AC200" s="88"/>
      <c r="AD200" s="88"/>
      <c r="AE200" s="88"/>
    </row>
    <row r="201" spans="1:31" ht="13.5" customHeight="1" x14ac:dyDescent="0.3">
      <c r="A201" s="1"/>
      <c r="B201" s="1"/>
      <c r="C201" s="1"/>
      <c r="D201" s="1"/>
      <c r="E201" s="1"/>
      <c r="F201" s="1"/>
      <c r="G201" s="1"/>
      <c r="H201" s="1"/>
      <c r="I201" s="1"/>
      <c r="J201" s="1"/>
      <c r="K201" s="1"/>
      <c r="L201" s="24"/>
      <c r="M201" s="24"/>
      <c r="N201" s="24"/>
      <c r="O201" s="24"/>
      <c r="P201" s="24"/>
      <c r="Q201" s="24"/>
      <c r="R201" s="24"/>
      <c r="S201" s="24"/>
      <c r="T201" s="24"/>
      <c r="U201" s="24"/>
      <c r="V201" s="24"/>
      <c r="W201" s="24"/>
      <c r="X201" s="24"/>
      <c r="Y201" s="24"/>
      <c r="Z201" s="24"/>
      <c r="AA201" s="88"/>
      <c r="AB201" s="88"/>
      <c r="AC201" s="88"/>
      <c r="AD201" s="88"/>
      <c r="AE201" s="88"/>
    </row>
    <row r="202" spans="1:31" ht="13.5" customHeight="1" x14ac:dyDescent="0.3">
      <c r="A202" s="1"/>
      <c r="B202" s="1"/>
      <c r="C202" s="1"/>
      <c r="D202" s="1"/>
      <c r="E202" s="1"/>
      <c r="F202" s="1"/>
      <c r="G202" s="1"/>
      <c r="H202" s="1"/>
      <c r="I202" s="1"/>
      <c r="J202" s="1"/>
      <c r="K202" s="1"/>
      <c r="L202" s="24"/>
      <c r="M202" s="24"/>
      <c r="N202" s="24"/>
      <c r="O202" s="24"/>
      <c r="P202" s="24"/>
      <c r="Q202" s="24"/>
      <c r="R202" s="24"/>
      <c r="S202" s="24"/>
      <c r="T202" s="24"/>
      <c r="U202" s="24"/>
      <c r="V202" s="24"/>
      <c r="W202" s="24"/>
      <c r="X202" s="24"/>
      <c r="Y202" s="24"/>
      <c r="Z202" s="24"/>
      <c r="AA202" s="88"/>
      <c r="AB202" s="88"/>
      <c r="AC202" s="88"/>
      <c r="AD202" s="88"/>
      <c r="AE202" s="88"/>
    </row>
    <row r="203" spans="1:31" ht="13.5" customHeight="1" x14ac:dyDescent="0.3">
      <c r="A203" s="1"/>
      <c r="B203" s="1"/>
      <c r="C203" s="1"/>
      <c r="D203" s="1"/>
      <c r="E203" s="1"/>
      <c r="F203" s="1"/>
      <c r="G203" s="1"/>
      <c r="H203" s="1"/>
      <c r="I203" s="1"/>
      <c r="J203" s="1"/>
      <c r="K203" s="1"/>
      <c r="L203" s="24"/>
      <c r="M203" s="24"/>
      <c r="N203" s="24"/>
      <c r="O203" s="24"/>
      <c r="P203" s="24"/>
      <c r="Q203" s="24"/>
      <c r="R203" s="24"/>
      <c r="S203" s="24"/>
      <c r="T203" s="24"/>
      <c r="U203" s="24"/>
      <c r="V203" s="24"/>
      <c r="W203" s="24"/>
      <c r="X203" s="24"/>
      <c r="Y203" s="24"/>
      <c r="Z203" s="24"/>
      <c r="AA203" s="88"/>
      <c r="AB203" s="88"/>
      <c r="AC203" s="88"/>
      <c r="AD203" s="88"/>
      <c r="AE203" s="88"/>
    </row>
    <row r="204" spans="1:31" ht="13.5" customHeight="1" x14ac:dyDescent="0.3">
      <c r="A204" s="1"/>
      <c r="B204" s="1"/>
      <c r="C204" s="1"/>
      <c r="D204" s="1"/>
      <c r="E204" s="1"/>
      <c r="F204" s="1"/>
      <c r="G204" s="1"/>
      <c r="H204" s="1"/>
      <c r="I204" s="1"/>
      <c r="J204" s="1"/>
      <c r="K204" s="1"/>
      <c r="L204" s="24"/>
      <c r="M204" s="24"/>
      <c r="N204" s="24"/>
      <c r="O204" s="24"/>
      <c r="P204" s="24"/>
      <c r="Q204" s="24"/>
      <c r="R204" s="24"/>
      <c r="S204" s="24"/>
      <c r="T204" s="24"/>
      <c r="U204" s="24"/>
      <c r="V204" s="24"/>
      <c r="W204" s="24"/>
      <c r="X204" s="24"/>
      <c r="Y204" s="24"/>
      <c r="Z204" s="24"/>
      <c r="AA204" s="88"/>
      <c r="AB204" s="88"/>
      <c r="AC204" s="88"/>
      <c r="AD204" s="88"/>
      <c r="AE204" s="88"/>
    </row>
    <row r="205" spans="1:31" ht="13.5" customHeight="1" x14ac:dyDescent="0.3">
      <c r="A205" s="1"/>
      <c r="B205" s="1"/>
      <c r="C205" s="1"/>
      <c r="D205" s="1"/>
      <c r="E205" s="1"/>
      <c r="F205" s="1"/>
      <c r="G205" s="1"/>
      <c r="H205" s="1"/>
      <c r="I205" s="1"/>
      <c r="J205" s="1"/>
      <c r="K205" s="1"/>
      <c r="L205" s="24"/>
      <c r="M205" s="24"/>
      <c r="N205" s="24"/>
      <c r="O205" s="24"/>
      <c r="P205" s="24"/>
      <c r="Q205" s="24"/>
      <c r="R205" s="24"/>
      <c r="S205" s="24"/>
      <c r="T205" s="24"/>
      <c r="U205" s="24"/>
      <c r="V205" s="24"/>
      <c r="W205" s="24"/>
      <c r="X205" s="24"/>
      <c r="Y205" s="24"/>
      <c r="Z205" s="24"/>
      <c r="AA205" s="88"/>
      <c r="AB205" s="88"/>
      <c r="AC205" s="88"/>
      <c r="AD205" s="88"/>
      <c r="AE205" s="88"/>
    </row>
    <row r="206" spans="1:31" ht="13.5" customHeight="1" x14ac:dyDescent="0.3">
      <c r="A206" s="1"/>
      <c r="B206" s="1"/>
      <c r="C206" s="1"/>
      <c r="D206" s="1"/>
      <c r="E206" s="1"/>
      <c r="F206" s="1"/>
      <c r="G206" s="1"/>
      <c r="H206" s="1"/>
      <c r="I206" s="1"/>
      <c r="J206" s="1"/>
      <c r="K206" s="1"/>
      <c r="L206" s="24"/>
      <c r="M206" s="24"/>
      <c r="N206" s="24"/>
      <c r="O206" s="24"/>
      <c r="P206" s="24"/>
      <c r="Q206" s="24"/>
      <c r="R206" s="24"/>
      <c r="S206" s="24"/>
      <c r="T206" s="24"/>
      <c r="U206" s="24"/>
      <c r="V206" s="24"/>
      <c r="W206" s="24"/>
      <c r="X206" s="24"/>
      <c r="Y206" s="24"/>
      <c r="Z206" s="24"/>
      <c r="AA206" s="88"/>
      <c r="AB206" s="88"/>
      <c r="AC206" s="88"/>
      <c r="AD206" s="88"/>
      <c r="AE206" s="88"/>
    </row>
    <row r="207" spans="1:31" ht="13.5" customHeight="1" x14ac:dyDescent="0.3">
      <c r="A207" s="1"/>
      <c r="B207" s="1"/>
      <c r="C207" s="1"/>
      <c r="D207" s="1"/>
      <c r="E207" s="1"/>
      <c r="F207" s="1"/>
      <c r="G207" s="1"/>
      <c r="H207" s="1"/>
      <c r="I207" s="1"/>
      <c r="J207" s="1"/>
      <c r="K207" s="1"/>
      <c r="L207" s="24"/>
      <c r="M207" s="24"/>
      <c r="N207" s="24"/>
      <c r="O207" s="24"/>
      <c r="P207" s="24"/>
      <c r="Q207" s="24"/>
      <c r="R207" s="24"/>
      <c r="S207" s="24"/>
      <c r="T207" s="24"/>
      <c r="U207" s="24"/>
      <c r="V207" s="24"/>
      <c r="W207" s="24"/>
      <c r="X207" s="24"/>
      <c r="Y207" s="24"/>
      <c r="Z207" s="24"/>
      <c r="AA207" s="88"/>
      <c r="AB207" s="88"/>
      <c r="AC207" s="88"/>
      <c r="AD207" s="88"/>
      <c r="AE207" s="88"/>
    </row>
    <row r="208" spans="1:31" ht="13.5" customHeight="1" x14ac:dyDescent="0.3">
      <c r="A208" s="1"/>
      <c r="B208" s="1"/>
      <c r="C208" s="1"/>
      <c r="D208" s="1"/>
      <c r="E208" s="1"/>
      <c r="F208" s="1"/>
      <c r="G208" s="1"/>
      <c r="H208" s="1"/>
      <c r="I208" s="1"/>
      <c r="J208" s="1"/>
      <c r="K208" s="1"/>
      <c r="L208" s="24"/>
      <c r="M208" s="24"/>
      <c r="N208" s="24"/>
      <c r="O208" s="24"/>
      <c r="P208" s="24"/>
      <c r="Q208" s="24"/>
      <c r="R208" s="24"/>
      <c r="S208" s="24"/>
      <c r="T208" s="24"/>
      <c r="U208" s="24"/>
      <c r="V208" s="24"/>
      <c r="W208" s="24"/>
      <c r="X208" s="24"/>
      <c r="Y208" s="24"/>
      <c r="Z208" s="24"/>
      <c r="AA208" s="88"/>
      <c r="AB208" s="88"/>
      <c r="AC208" s="88"/>
      <c r="AD208" s="88"/>
      <c r="AE208" s="88"/>
    </row>
    <row r="209" spans="1:31" ht="13.5" customHeight="1" x14ac:dyDescent="0.3">
      <c r="A209" s="1"/>
      <c r="B209" s="1"/>
      <c r="C209" s="1"/>
      <c r="D209" s="1"/>
      <c r="E209" s="1"/>
      <c r="F209" s="1"/>
      <c r="G209" s="1"/>
      <c r="H209" s="1"/>
      <c r="I209" s="1"/>
      <c r="J209" s="1"/>
      <c r="K209" s="1"/>
      <c r="L209" s="24"/>
      <c r="M209" s="24"/>
      <c r="N209" s="24"/>
      <c r="O209" s="24"/>
      <c r="P209" s="24"/>
      <c r="Q209" s="24"/>
      <c r="R209" s="24"/>
      <c r="S209" s="24"/>
      <c r="T209" s="24"/>
      <c r="U209" s="24"/>
      <c r="V209" s="24"/>
      <c r="W209" s="24"/>
      <c r="X209" s="24"/>
      <c r="Y209" s="24"/>
      <c r="Z209" s="24"/>
      <c r="AA209" s="88"/>
      <c r="AB209" s="88"/>
      <c r="AC209" s="88"/>
      <c r="AD209" s="88"/>
      <c r="AE209" s="88"/>
    </row>
    <row r="210" spans="1:31" ht="13.5" customHeight="1" x14ac:dyDescent="0.3">
      <c r="A210" s="1"/>
      <c r="B210" s="1"/>
      <c r="C210" s="1"/>
      <c r="D210" s="1"/>
      <c r="E210" s="1"/>
      <c r="F210" s="1"/>
      <c r="G210" s="1"/>
      <c r="H210" s="1"/>
      <c r="I210" s="1"/>
      <c r="J210" s="1"/>
      <c r="K210" s="1"/>
      <c r="L210" s="24"/>
      <c r="M210" s="24"/>
      <c r="N210" s="24"/>
      <c r="O210" s="24"/>
      <c r="P210" s="24"/>
      <c r="Q210" s="24"/>
      <c r="R210" s="24"/>
      <c r="S210" s="24"/>
      <c r="T210" s="24"/>
      <c r="U210" s="24"/>
      <c r="V210" s="24"/>
      <c r="W210" s="24"/>
      <c r="X210" s="24"/>
      <c r="Y210" s="24"/>
      <c r="Z210" s="24"/>
      <c r="AA210" s="88"/>
      <c r="AB210" s="88"/>
      <c r="AC210" s="88"/>
      <c r="AD210" s="88"/>
      <c r="AE210" s="88"/>
    </row>
    <row r="211" spans="1:31" ht="13.5" customHeight="1" x14ac:dyDescent="0.3">
      <c r="A211" s="1"/>
      <c r="B211" s="1"/>
      <c r="C211" s="1"/>
      <c r="D211" s="1"/>
      <c r="E211" s="1"/>
      <c r="F211" s="1"/>
      <c r="G211" s="1"/>
      <c r="H211" s="1"/>
      <c r="I211" s="1"/>
      <c r="J211" s="1"/>
      <c r="K211" s="1"/>
      <c r="L211" s="24"/>
      <c r="M211" s="24"/>
      <c r="N211" s="24"/>
      <c r="O211" s="24"/>
      <c r="P211" s="24"/>
      <c r="Q211" s="24"/>
      <c r="R211" s="24"/>
      <c r="S211" s="24"/>
      <c r="T211" s="24"/>
      <c r="U211" s="24"/>
      <c r="V211" s="24"/>
      <c r="W211" s="24"/>
      <c r="X211" s="24"/>
      <c r="Y211" s="24"/>
      <c r="Z211" s="24"/>
      <c r="AA211" s="88"/>
      <c r="AB211" s="88"/>
      <c r="AC211" s="88"/>
      <c r="AD211" s="88"/>
      <c r="AE211" s="88"/>
    </row>
    <row r="212" spans="1:31" ht="13.5" customHeight="1" x14ac:dyDescent="0.3">
      <c r="A212" s="1"/>
      <c r="B212" s="1"/>
      <c r="C212" s="1"/>
      <c r="D212" s="1"/>
      <c r="E212" s="1"/>
      <c r="F212" s="1"/>
      <c r="G212" s="1"/>
      <c r="H212" s="1"/>
      <c r="I212" s="1"/>
      <c r="J212" s="1"/>
      <c r="K212" s="1"/>
      <c r="L212" s="24"/>
      <c r="M212" s="24"/>
      <c r="N212" s="24"/>
      <c r="O212" s="24"/>
      <c r="P212" s="24"/>
      <c r="Q212" s="24"/>
      <c r="R212" s="24"/>
      <c r="S212" s="24"/>
      <c r="T212" s="24"/>
      <c r="U212" s="24"/>
      <c r="V212" s="24"/>
      <c r="W212" s="24"/>
      <c r="X212" s="24"/>
      <c r="Y212" s="24"/>
      <c r="Z212" s="24"/>
      <c r="AA212" s="88"/>
      <c r="AB212" s="88"/>
      <c r="AC212" s="88"/>
      <c r="AD212" s="88"/>
      <c r="AE212" s="88"/>
    </row>
    <row r="213" spans="1:31" ht="13.5" customHeight="1" x14ac:dyDescent="0.3">
      <c r="A213" s="1"/>
      <c r="B213" s="1"/>
      <c r="C213" s="1"/>
      <c r="D213" s="1"/>
      <c r="E213" s="1"/>
      <c r="F213" s="1"/>
      <c r="G213" s="1"/>
      <c r="H213" s="1"/>
      <c r="I213" s="1"/>
      <c r="J213" s="1"/>
      <c r="K213" s="1"/>
      <c r="L213" s="24"/>
      <c r="M213" s="24"/>
      <c r="N213" s="24"/>
      <c r="O213" s="24"/>
      <c r="P213" s="24"/>
      <c r="Q213" s="24"/>
      <c r="R213" s="24"/>
      <c r="S213" s="24"/>
      <c r="T213" s="24"/>
      <c r="U213" s="24"/>
      <c r="V213" s="24"/>
      <c r="W213" s="24"/>
      <c r="X213" s="24"/>
      <c r="Y213" s="24"/>
      <c r="Z213" s="24"/>
      <c r="AA213" s="88"/>
      <c r="AB213" s="88"/>
      <c r="AC213" s="88"/>
      <c r="AD213" s="88"/>
      <c r="AE213" s="88"/>
    </row>
    <row r="214" spans="1:31" ht="13.5" customHeight="1" x14ac:dyDescent="0.3">
      <c r="A214" s="1"/>
      <c r="B214" s="1"/>
      <c r="C214" s="1"/>
      <c r="D214" s="1"/>
      <c r="E214" s="1"/>
      <c r="F214" s="1"/>
      <c r="G214" s="1"/>
      <c r="H214" s="1"/>
      <c r="I214" s="1"/>
      <c r="J214" s="1"/>
      <c r="K214" s="1"/>
      <c r="L214" s="24"/>
      <c r="M214" s="24"/>
      <c r="N214" s="24"/>
      <c r="O214" s="24"/>
      <c r="P214" s="24"/>
      <c r="Q214" s="24"/>
      <c r="R214" s="24"/>
      <c r="S214" s="24"/>
      <c r="T214" s="24"/>
      <c r="U214" s="24"/>
      <c r="V214" s="24"/>
      <c r="W214" s="24"/>
      <c r="X214" s="24"/>
      <c r="Y214" s="24"/>
      <c r="Z214" s="24"/>
      <c r="AA214" s="88"/>
      <c r="AB214" s="88"/>
      <c r="AC214" s="88"/>
      <c r="AD214" s="88"/>
      <c r="AE214" s="88"/>
    </row>
    <row r="215" spans="1:31" ht="13.5" customHeight="1" x14ac:dyDescent="0.3">
      <c r="A215" s="1"/>
      <c r="B215" s="1"/>
      <c r="C215" s="1"/>
      <c r="D215" s="1"/>
      <c r="E215" s="1"/>
      <c r="F215" s="1"/>
      <c r="G215" s="1"/>
      <c r="H215" s="1"/>
      <c r="I215" s="1"/>
      <c r="J215" s="1"/>
      <c r="K215" s="1"/>
      <c r="L215" s="24"/>
      <c r="M215" s="24"/>
      <c r="N215" s="24"/>
      <c r="O215" s="24"/>
      <c r="P215" s="24"/>
      <c r="Q215" s="24"/>
      <c r="R215" s="24"/>
      <c r="S215" s="24"/>
      <c r="T215" s="24"/>
      <c r="U215" s="24"/>
      <c r="V215" s="24"/>
      <c r="W215" s="24"/>
      <c r="X215" s="24"/>
      <c r="Y215" s="24"/>
      <c r="Z215" s="24"/>
      <c r="AA215" s="88"/>
      <c r="AB215" s="88"/>
      <c r="AC215" s="88"/>
      <c r="AD215" s="88"/>
      <c r="AE215" s="88"/>
    </row>
    <row r="216" spans="1:31" ht="13.5" customHeight="1" x14ac:dyDescent="0.3">
      <c r="A216" s="1"/>
      <c r="B216" s="1"/>
      <c r="C216" s="1"/>
      <c r="D216" s="1"/>
      <c r="E216" s="1"/>
      <c r="F216" s="1"/>
      <c r="G216" s="1"/>
      <c r="H216" s="1"/>
      <c r="I216" s="1"/>
      <c r="J216" s="1"/>
      <c r="K216" s="1"/>
      <c r="L216" s="24"/>
      <c r="M216" s="24"/>
      <c r="N216" s="24"/>
      <c r="O216" s="24"/>
      <c r="P216" s="24"/>
      <c r="Q216" s="24"/>
      <c r="R216" s="24"/>
      <c r="S216" s="24"/>
      <c r="T216" s="24"/>
      <c r="U216" s="24"/>
      <c r="V216" s="24"/>
      <c r="W216" s="24"/>
      <c r="X216" s="24"/>
      <c r="Y216" s="24"/>
      <c r="Z216" s="24"/>
      <c r="AA216" s="88"/>
      <c r="AB216" s="88"/>
      <c r="AC216" s="88"/>
      <c r="AD216" s="88"/>
      <c r="AE216" s="88"/>
    </row>
    <row r="217" spans="1:31" ht="13.5" customHeight="1" x14ac:dyDescent="0.3">
      <c r="A217" s="1"/>
      <c r="B217" s="1"/>
      <c r="C217" s="1"/>
      <c r="D217" s="1"/>
      <c r="E217" s="1"/>
      <c r="F217" s="1"/>
      <c r="G217" s="1"/>
      <c r="H217" s="1"/>
      <c r="I217" s="1"/>
      <c r="J217" s="1"/>
      <c r="K217" s="1"/>
      <c r="L217" s="24"/>
      <c r="M217" s="24"/>
      <c r="N217" s="24"/>
      <c r="O217" s="24"/>
      <c r="P217" s="24"/>
      <c r="Q217" s="24"/>
      <c r="R217" s="24"/>
      <c r="S217" s="24"/>
      <c r="T217" s="24"/>
      <c r="U217" s="24"/>
      <c r="V217" s="24"/>
      <c r="W217" s="24"/>
      <c r="X217" s="24"/>
      <c r="Y217" s="24"/>
      <c r="Z217" s="24"/>
      <c r="AA217" s="88"/>
      <c r="AB217" s="88"/>
      <c r="AC217" s="88"/>
      <c r="AD217" s="88"/>
      <c r="AE217" s="88"/>
    </row>
    <row r="218" spans="1:31" ht="13.5" customHeight="1" x14ac:dyDescent="0.3">
      <c r="A218" s="1"/>
      <c r="B218" s="1"/>
      <c r="C218" s="1"/>
      <c r="D218" s="1"/>
      <c r="E218" s="1"/>
      <c r="F218" s="1"/>
      <c r="G218" s="1"/>
      <c r="H218" s="1"/>
      <c r="I218" s="1"/>
      <c r="J218" s="1"/>
      <c r="K218" s="1"/>
      <c r="L218" s="24"/>
      <c r="M218" s="24"/>
      <c r="N218" s="24"/>
      <c r="O218" s="24"/>
      <c r="P218" s="24"/>
      <c r="Q218" s="24"/>
      <c r="R218" s="24"/>
      <c r="S218" s="24"/>
      <c r="T218" s="24"/>
      <c r="U218" s="24"/>
      <c r="V218" s="24"/>
      <c r="W218" s="24"/>
      <c r="X218" s="24"/>
      <c r="Y218" s="24"/>
      <c r="Z218" s="24"/>
      <c r="AA218" s="88"/>
      <c r="AB218" s="88"/>
      <c r="AC218" s="88"/>
      <c r="AD218" s="88"/>
      <c r="AE218" s="88"/>
    </row>
    <row r="219" spans="1:31" ht="13.5" customHeight="1" x14ac:dyDescent="0.3">
      <c r="A219" s="1"/>
      <c r="B219" s="1"/>
      <c r="C219" s="1"/>
      <c r="D219" s="1"/>
      <c r="E219" s="1"/>
      <c r="F219" s="1"/>
      <c r="G219" s="1"/>
      <c r="H219" s="1"/>
      <c r="I219" s="1"/>
      <c r="J219" s="1"/>
      <c r="K219" s="1"/>
      <c r="L219" s="24"/>
      <c r="M219" s="24"/>
      <c r="N219" s="24"/>
      <c r="O219" s="24"/>
      <c r="P219" s="24"/>
      <c r="Q219" s="24"/>
      <c r="R219" s="24"/>
      <c r="S219" s="24"/>
      <c r="T219" s="24"/>
      <c r="U219" s="24"/>
      <c r="V219" s="24"/>
      <c r="W219" s="24"/>
      <c r="X219" s="24"/>
      <c r="Y219" s="24"/>
      <c r="Z219" s="24"/>
      <c r="AA219" s="88"/>
      <c r="AB219" s="88"/>
      <c r="AC219" s="88"/>
      <c r="AD219" s="88"/>
      <c r="AE219" s="88"/>
    </row>
    <row r="220" spans="1:31" ht="13.5" customHeight="1" x14ac:dyDescent="0.3">
      <c r="A220" s="1"/>
      <c r="B220" s="1"/>
      <c r="C220" s="1"/>
      <c r="D220" s="1"/>
      <c r="E220" s="1"/>
      <c r="F220" s="1"/>
      <c r="G220" s="1"/>
      <c r="H220" s="1"/>
      <c r="I220" s="1"/>
      <c r="J220" s="1"/>
      <c r="K220" s="1"/>
      <c r="L220" s="24"/>
      <c r="M220" s="24"/>
      <c r="N220" s="24"/>
      <c r="O220" s="24"/>
      <c r="P220" s="24"/>
      <c r="Q220" s="24"/>
      <c r="R220" s="24"/>
      <c r="S220" s="24"/>
      <c r="T220" s="24"/>
      <c r="U220" s="24"/>
      <c r="V220" s="24"/>
      <c r="W220" s="24"/>
      <c r="X220" s="24"/>
      <c r="Y220" s="24"/>
      <c r="Z220" s="24"/>
      <c r="AA220" s="88"/>
      <c r="AB220" s="88"/>
      <c r="AC220" s="88"/>
      <c r="AD220" s="88"/>
      <c r="AE220" s="88"/>
    </row>
    <row r="221" spans="1:31" ht="13.5" customHeight="1" x14ac:dyDescent="0.3">
      <c r="A221" s="1"/>
      <c r="B221" s="1"/>
      <c r="C221" s="1"/>
      <c r="D221" s="1"/>
      <c r="E221" s="1"/>
      <c r="F221" s="1"/>
      <c r="G221" s="1"/>
      <c r="H221" s="1"/>
      <c r="I221" s="1"/>
      <c r="J221" s="1"/>
      <c r="K221" s="1"/>
      <c r="L221" s="24"/>
      <c r="M221" s="24"/>
      <c r="N221" s="24"/>
      <c r="O221" s="24"/>
      <c r="P221" s="24"/>
      <c r="Q221" s="24"/>
      <c r="R221" s="24"/>
      <c r="S221" s="24"/>
      <c r="T221" s="24"/>
      <c r="U221" s="24"/>
      <c r="V221" s="24"/>
      <c r="W221" s="24"/>
      <c r="X221" s="24"/>
      <c r="Y221" s="24"/>
      <c r="Z221" s="24"/>
      <c r="AA221" s="88"/>
      <c r="AB221" s="88"/>
      <c r="AC221" s="88"/>
      <c r="AD221" s="88"/>
      <c r="AE221" s="88"/>
    </row>
    <row r="222" spans="1:31" ht="13.5" customHeight="1" x14ac:dyDescent="0.3">
      <c r="A222" s="1"/>
      <c r="B222" s="1"/>
      <c r="C222" s="1"/>
      <c r="D222" s="1"/>
      <c r="E222" s="1"/>
      <c r="F222" s="1"/>
      <c r="G222" s="1"/>
      <c r="H222" s="1"/>
      <c r="I222" s="1"/>
      <c r="J222" s="1"/>
      <c r="K222" s="1"/>
      <c r="L222" s="24"/>
      <c r="M222" s="24"/>
      <c r="N222" s="24"/>
      <c r="O222" s="24"/>
      <c r="P222" s="24"/>
      <c r="Q222" s="24"/>
      <c r="R222" s="24"/>
      <c r="S222" s="24"/>
      <c r="T222" s="24"/>
      <c r="U222" s="24"/>
      <c r="V222" s="24"/>
      <c r="W222" s="24"/>
      <c r="X222" s="24"/>
      <c r="Y222" s="24"/>
      <c r="Z222" s="24"/>
      <c r="AA222" s="88"/>
      <c r="AB222" s="88"/>
      <c r="AC222" s="88"/>
      <c r="AD222" s="88"/>
      <c r="AE222" s="88"/>
    </row>
    <row r="223" spans="1:31" ht="13.5" customHeight="1" x14ac:dyDescent="0.3">
      <c r="A223" s="1"/>
      <c r="B223" s="1"/>
      <c r="C223" s="1"/>
      <c r="D223" s="1"/>
      <c r="E223" s="1"/>
      <c r="F223" s="1"/>
      <c r="G223" s="1"/>
      <c r="H223" s="1"/>
      <c r="I223" s="1"/>
      <c r="J223" s="1"/>
      <c r="K223" s="1"/>
      <c r="L223" s="24"/>
      <c r="M223" s="24"/>
      <c r="N223" s="24"/>
      <c r="O223" s="24"/>
      <c r="P223" s="24"/>
      <c r="Q223" s="24"/>
      <c r="R223" s="24"/>
      <c r="S223" s="24"/>
      <c r="T223" s="24"/>
      <c r="U223" s="24"/>
      <c r="V223" s="24"/>
      <c r="W223" s="24"/>
      <c r="X223" s="24"/>
      <c r="Y223" s="24"/>
      <c r="Z223" s="24"/>
      <c r="AA223" s="88"/>
      <c r="AB223" s="88"/>
      <c r="AC223" s="88"/>
      <c r="AD223" s="88"/>
      <c r="AE223" s="88"/>
    </row>
    <row r="224" spans="1:31" ht="13.5" customHeight="1" x14ac:dyDescent="0.3">
      <c r="A224" s="1"/>
      <c r="B224" s="1"/>
      <c r="C224" s="1"/>
      <c r="D224" s="1"/>
      <c r="E224" s="1"/>
      <c r="F224" s="1"/>
      <c r="G224" s="1"/>
      <c r="H224" s="1"/>
      <c r="I224" s="1"/>
      <c r="J224" s="1"/>
      <c r="K224" s="1"/>
      <c r="L224" s="24"/>
      <c r="M224" s="24"/>
      <c r="N224" s="24"/>
      <c r="O224" s="24"/>
      <c r="P224" s="24"/>
      <c r="Q224" s="24"/>
      <c r="R224" s="24"/>
      <c r="S224" s="24"/>
      <c r="T224" s="24"/>
      <c r="U224" s="24"/>
      <c r="V224" s="24"/>
      <c r="W224" s="24"/>
      <c r="X224" s="24"/>
      <c r="Y224" s="24"/>
      <c r="Z224" s="24"/>
      <c r="AA224" s="88"/>
      <c r="AB224" s="88"/>
      <c r="AC224" s="88"/>
      <c r="AD224" s="88"/>
      <c r="AE224" s="88"/>
    </row>
    <row r="225" spans="1:31" ht="13.5" customHeight="1" x14ac:dyDescent="0.3">
      <c r="A225" s="1"/>
      <c r="B225" s="1"/>
      <c r="C225" s="1"/>
      <c r="D225" s="1"/>
      <c r="E225" s="1"/>
      <c r="F225" s="1"/>
      <c r="G225" s="1"/>
      <c r="H225" s="1"/>
      <c r="I225" s="1"/>
      <c r="J225" s="1"/>
      <c r="K225" s="1"/>
      <c r="L225" s="24"/>
      <c r="M225" s="24"/>
      <c r="N225" s="24"/>
      <c r="O225" s="24"/>
      <c r="P225" s="24"/>
      <c r="Q225" s="24"/>
      <c r="R225" s="24"/>
      <c r="S225" s="24"/>
      <c r="T225" s="24"/>
      <c r="U225" s="24"/>
      <c r="V225" s="24"/>
      <c r="W225" s="24"/>
      <c r="X225" s="24"/>
      <c r="Y225" s="24"/>
      <c r="Z225" s="24"/>
      <c r="AA225" s="88"/>
      <c r="AB225" s="88"/>
      <c r="AC225" s="88"/>
      <c r="AD225" s="88"/>
      <c r="AE225" s="88"/>
    </row>
    <row r="226" spans="1:31" ht="13.5" customHeight="1" x14ac:dyDescent="0.3">
      <c r="A226" s="1"/>
      <c r="B226" s="1"/>
      <c r="C226" s="1"/>
      <c r="D226" s="1"/>
      <c r="E226" s="1"/>
      <c r="F226" s="1"/>
      <c r="G226" s="1"/>
      <c r="H226" s="1"/>
      <c r="I226" s="1"/>
      <c r="J226" s="1"/>
      <c r="K226" s="1"/>
      <c r="L226" s="24"/>
      <c r="M226" s="24"/>
      <c r="N226" s="24"/>
      <c r="O226" s="24"/>
      <c r="P226" s="24"/>
      <c r="Q226" s="24"/>
      <c r="R226" s="24"/>
      <c r="S226" s="24"/>
      <c r="T226" s="24"/>
      <c r="U226" s="24"/>
      <c r="V226" s="24"/>
      <c r="W226" s="24"/>
      <c r="X226" s="24"/>
      <c r="Y226" s="24"/>
      <c r="Z226" s="24"/>
      <c r="AA226" s="88"/>
      <c r="AB226" s="88"/>
      <c r="AC226" s="88"/>
      <c r="AD226" s="88"/>
      <c r="AE226" s="88"/>
    </row>
    <row r="227" spans="1:31" ht="13.5" customHeight="1" x14ac:dyDescent="0.3">
      <c r="A227" s="1"/>
      <c r="B227" s="1"/>
      <c r="C227" s="1"/>
      <c r="D227" s="1"/>
      <c r="E227" s="1"/>
      <c r="F227" s="1"/>
      <c r="G227" s="1"/>
      <c r="H227" s="1"/>
      <c r="I227" s="1"/>
      <c r="J227" s="1"/>
      <c r="K227" s="1"/>
      <c r="L227" s="24"/>
      <c r="M227" s="24"/>
      <c r="N227" s="24"/>
      <c r="O227" s="24"/>
      <c r="P227" s="24"/>
      <c r="Q227" s="24"/>
      <c r="R227" s="24"/>
      <c r="S227" s="24"/>
      <c r="T227" s="24"/>
      <c r="U227" s="24"/>
      <c r="V227" s="24"/>
      <c r="W227" s="24"/>
      <c r="X227" s="24"/>
      <c r="Y227" s="24"/>
      <c r="Z227" s="24"/>
      <c r="AA227" s="88"/>
      <c r="AB227" s="88"/>
      <c r="AC227" s="88"/>
      <c r="AD227" s="88"/>
      <c r="AE227" s="88"/>
    </row>
    <row r="228" spans="1:31" ht="13.5" customHeight="1" x14ac:dyDescent="0.3">
      <c r="A228" s="1"/>
      <c r="B228" s="1"/>
      <c r="C228" s="1"/>
      <c r="D228" s="1"/>
      <c r="E228" s="1"/>
      <c r="F228" s="1"/>
      <c r="G228" s="1"/>
      <c r="H228" s="1"/>
      <c r="I228" s="1"/>
      <c r="J228" s="1"/>
      <c r="K228" s="1"/>
      <c r="L228" s="24"/>
      <c r="M228" s="24"/>
      <c r="N228" s="24"/>
      <c r="O228" s="24"/>
      <c r="P228" s="24"/>
      <c r="Q228" s="24"/>
      <c r="R228" s="24"/>
      <c r="S228" s="24"/>
      <c r="T228" s="24"/>
      <c r="U228" s="24"/>
      <c r="V228" s="24"/>
      <c r="W228" s="24"/>
      <c r="X228" s="24"/>
      <c r="Y228" s="24"/>
      <c r="Z228" s="24"/>
      <c r="AA228" s="88"/>
      <c r="AB228" s="88"/>
      <c r="AC228" s="88"/>
      <c r="AD228" s="88"/>
      <c r="AE228" s="88"/>
    </row>
    <row r="229" spans="1:31" ht="13.5" customHeight="1" x14ac:dyDescent="0.3">
      <c r="A229" s="1"/>
      <c r="B229" s="1"/>
      <c r="C229" s="1"/>
      <c r="D229" s="1"/>
      <c r="E229" s="1"/>
      <c r="F229" s="1"/>
      <c r="G229" s="1"/>
      <c r="H229" s="1"/>
      <c r="I229" s="1"/>
      <c r="J229" s="1"/>
      <c r="K229" s="1"/>
      <c r="L229" s="24"/>
      <c r="M229" s="24"/>
      <c r="N229" s="24"/>
      <c r="O229" s="24"/>
      <c r="P229" s="24"/>
      <c r="Q229" s="24"/>
      <c r="R229" s="24"/>
      <c r="S229" s="24"/>
      <c r="T229" s="24"/>
      <c r="U229" s="24"/>
      <c r="V229" s="24"/>
      <c r="W229" s="24"/>
      <c r="X229" s="24"/>
      <c r="Y229" s="24"/>
      <c r="Z229" s="24"/>
      <c r="AA229" s="88"/>
      <c r="AB229" s="88"/>
      <c r="AC229" s="88"/>
      <c r="AD229" s="88"/>
      <c r="AE229" s="88"/>
    </row>
    <row r="230" spans="1:31" ht="13.5" customHeight="1" x14ac:dyDescent="0.3">
      <c r="A230" s="1"/>
      <c r="B230" s="1"/>
      <c r="C230" s="1"/>
      <c r="D230" s="1"/>
      <c r="E230" s="1"/>
      <c r="F230" s="1"/>
      <c r="G230" s="1"/>
      <c r="H230" s="1"/>
      <c r="I230" s="1"/>
      <c r="J230" s="1"/>
      <c r="K230" s="1"/>
      <c r="L230" s="24"/>
      <c r="M230" s="24"/>
      <c r="N230" s="24"/>
      <c r="O230" s="24"/>
      <c r="P230" s="24"/>
      <c r="Q230" s="24"/>
      <c r="R230" s="24"/>
      <c r="S230" s="24"/>
      <c r="T230" s="24"/>
      <c r="U230" s="24"/>
      <c r="V230" s="24"/>
      <c r="W230" s="24"/>
      <c r="X230" s="24"/>
      <c r="Y230" s="24"/>
      <c r="Z230" s="24"/>
      <c r="AA230" s="88"/>
      <c r="AB230" s="88"/>
      <c r="AC230" s="88"/>
      <c r="AD230" s="88"/>
      <c r="AE230" s="88"/>
    </row>
    <row r="231" spans="1:31" ht="13.5" customHeight="1" x14ac:dyDescent="0.3">
      <c r="A231" s="1"/>
      <c r="B231" s="1"/>
      <c r="C231" s="1"/>
      <c r="D231" s="1"/>
      <c r="E231" s="1"/>
      <c r="F231" s="1"/>
      <c r="G231" s="1"/>
      <c r="H231" s="1"/>
      <c r="I231" s="1"/>
      <c r="J231" s="1"/>
      <c r="K231" s="1"/>
      <c r="L231" s="24"/>
      <c r="M231" s="24"/>
      <c r="N231" s="24"/>
      <c r="O231" s="24"/>
      <c r="P231" s="24"/>
      <c r="Q231" s="24"/>
      <c r="R231" s="24"/>
      <c r="S231" s="24"/>
      <c r="T231" s="24"/>
      <c r="U231" s="24"/>
      <c r="V231" s="24"/>
      <c r="W231" s="24"/>
      <c r="X231" s="24"/>
      <c r="Y231" s="24"/>
      <c r="Z231" s="24"/>
      <c r="AA231" s="88"/>
      <c r="AB231" s="88"/>
      <c r="AC231" s="88"/>
      <c r="AD231" s="88"/>
      <c r="AE231" s="88"/>
    </row>
    <row r="232" spans="1:31" ht="13.5" customHeight="1" x14ac:dyDescent="0.3">
      <c r="A232" s="1"/>
      <c r="B232" s="1"/>
      <c r="C232" s="1"/>
      <c r="D232" s="1"/>
      <c r="E232" s="1"/>
      <c r="F232" s="1"/>
      <c r="G232" s="1"/>
      <c r="H232" s="1"/>
      <c r="I232" s="1"/>
      <c r="J232" s="1"/>
      <c r="K232" s="1"/>
      <c r="L232" s="24"/>
      <c r="M232" s="24"/>
      <c r="N232" s="24"/>
      <c r="O232" s="24"/>
      <c r="P232" s="24"/>
      <c r="Q232" s="24"/>
      <c r="R232" s="24"/>
      <c r="S232" s="24"/>
      <c r="T232" s="24"/>
      <c r="U232" s="24"/>
      <c r="V232" s="24"/>
      <c r="W232" s="24"/>
      <c r="X232" s="24"/>
      <c r="Y232" s="24"/>
      <c r="Z232" s="24"/>
      <c r="AA232" s="88"/>
      <c r="AB232" s="88"/>
      <c r="AC232" s="88"/>
      <c r="AD232" s="88"/>
      <c r="AE232" s="88"/>
    </row>
    <row r="233" spans="1:31" ht="13.5" customHeight="1" x14ac:dyDescent="0.3">
      <c r="A233" s="1"/>
      <c r="B233" s="1"/>
      <c r="C233" s="1"/>
      <c r="D233" s="1"/>
      <c r="E233" s="1"/>
      <c r="F233" s="1"/>
      <c r="G233" s="1"/>
      <c r="H233" s="1"/>
      <c r="I233" s="1"/>
      <c r="J233" s="1"/>
      <c r="K233" s="1"/>
      <c r="L233" s="24"/>
      <c r="M233" s="24"/>
      <c r="N233" s="24"/>
      <c r="O233" s="24"/>
      <c r="P233" s="24"/>
      <c r="Q233" s="24"/>
      <c r="R233" s="24"/>
      <c r="S233" s="24"/>
      <c r="T233" s="24"/>
      <c r="U233" s="24"/>
      <c r="V233" s="24"/>
      <c r="W233" s="24"/>
      <c r="X233" s="24"/>
      <c r="Y233" s="24"/>
      <c r="Z233" s="24"/>
      <c r="AA233" s="88"/>
      <c r="AB233" s="88"/>
      <c r="AC233" s="88"/>
      <c r="AD233" s="88"/>
      <c r="AE233" s="88"/>
    </row>
    <row r="234" spans="1:31" ht="13.5" customHeight="1" x14ac:dyDescent="0.3">
      <c r="A234" s="1"/>
      <c r="B234" s="1"/>
      <c r="C234" s="1"/>
      <c r="D234" s="1"/>
      <c r="E234" s="1"/>
      <c r="F234" s="1"/>
      <c r="G234" s="1"/>
      <c r="H234" s="1"/>
      <c r="I234" s="1"/>
      <c r="J234" s="1"/>
      <c r="K234" s="1"/>
      <c r="L234" s="24"/>
      <c r="M234" s="24"/>
      <c r="N234" s="24"/>
      <c r="O234" s="24"/>
      <c r="P234" s="24"/>
      <c r="Q234" s="24"/>
      <c r="R234" s="24"/>
      <c r="S234" s="24"/>
      <c r="T234" s="24"/>
      <c r="U234" s="24"/>
      <c r="V234" s="24"/>
      <c r="W234" s="24"/>
      <c r="X234" s="24"/>
      <c r="Y234" s="24"/>
      <c r="Z234" s="24"/>
      <c r="AA234" s="88"/>
      <c r="AB234" s="88"/>
      <c r="AC234" s="88"/>
      <c r="AD234" s="88"/>
      <c r="AE234" s="88"/>
    </row>
    <row r="235" spans="1:31" ht="13.5" customHeight="1" x14ac:dyDescent="0.3">
      <c r="A235" s="1"/>
      <c r="B235" s="1"/>
      <c r="C235" s="1"/>
      <c r="D235" s="1"/>
      <c r="E235" s="1"/>
      <c r="F235" s="1"/>
      <c r="G235" s="1"/>
      <c r="H235" s="1"/>
      <c r="I235" s="1"/>
      <c r="J235" s="1"/>
      <c r="K235" s="1"/>
      <c r="L235" s="24"/>
      <c r="M235" s="24"/>
      <c r="N235" s="24"/>
      <c r="O235" s="24"/>
      <c r="P235" s="24"/>
      <c r="Q235" s="24"/>
      <c r="R235" s="24"/>
      <c r="S235" s="24"/>
      <c r="T235" s="24"/>
      <c r="U235" s="24"/>
      <c r="V235" s="24"/>
      <c r="W235" s="24"/>
      <c r="X235" s="24"/>
      <c r="Y235" s="24"/>
      <c r="Z235" s="24"/>
      <c r="AA235" s="88"/>
      <c r="AB235" s="88"/>
      <c r="AC235" s="88"/>
      <c r="AD235" s="88"/>
      <c r="AE235" s="88"/>
    </row>
    <row r="236" spans="1:31" ht="13.5" customHeight="1" x14ac:dyDescent="0.3">
      <c r="A236" s="1"/>
      <c r="B236" s="1"/>
      <c r="C236" s="1"/>
      <c r="D236" s="1"/>
      <c r="E236" s="1"/>
      <c r="F236" s="1"/>
      <c r="G236" s="1"/>
      <c r="H236" s="1"/>
      <c r="I236" s="1"/>
      <c r="J236" s="1"/>
      <c r="K236" s="1"/>
      <c r="L236" s="24"/>
      <c r="M236" s="24"/>
      <c r="N236" s="24"/>
      <c r="O236" s="24"/>
      <c r="P236" s="24"/>
      <c r="Q236" s="24"/>
      <c r="R236" s="24"/>
      <c r="S236" s="24"/>
      <c r="T236" s="24"/>
      <c r="U236" s="24"/>
      <c r="V236" s="24"/>
      <c r="W236" s="24"/>
      <c r="X236" s="24"/>
      <c r="Y236" s="24"/>
      <c r="Z236" s="24"/>
      <c r="AA236" s="88"/>
      <c r="AB236" s="88"/>
      <c r="AC236" s="88"/>
      <c r="AD236" s="88"/>
      <c r="AE236" s="88"/>
    </row>
    <row r="237" spans="1:31" ht="13.5" customHeight="1" x14ac:dyDescent="0.3">
      <c r="A237" s="1"/>
      <c r="B237" s="1"/>
      <c r="C237" s="1"/>
      <c r="D237" s="1"/>
      <c r="E237" s="1"/>
      <c r="F237" s="1"/>
      <c r="G237" s="1"/>
      <c r="H237" s="1"/>
      <c r="I237" s="1"/>
      <c r="J237" s="1"/>
      <c r="K237" s="1"/>
      <c r="L237" s="24"/>
      <c r="M237" s="24"/>
      <c r="N237" s="24"/>
      <c r="O237" s="24"/>
      <c r="P237" s="24"/>
      <c r="Q237" s="24"/>
      <c r="R237" s="24"/>
      <c r="S237" s="24"/>
      <c r="T237" s="24"/>
      <c r="U237" s="24"/>
      <c r="V237" s="24"/>
      <c r="W237" s="24"/>
      <c r="X237" s="24"/>
      <c r="Y237" s="24"/>
      <c r="Z237" s="24"/>
      <c r="AA237" s="88"/>
      <c r="AB237" s="88"/>
      <c r="AC237" s="88"/>
      <c r="AD237" s="88"/>
      <c r="AE237" s="88"/>
    </row>
    <row r="238" spans="1:31" ht="15.75" customHeight="1" x14ac:dyDescent="0.3">
      <c r="L238" s="88"/>
      <c r="M238" s="88"/>
      <c r="N238" s="88"/>
      <c r="O238" s="88"/>
      <c r="P238" s="88"/>
      <c r="Q238" s="88"/>
      <c r="R238" s="88"/>
      <c r="S238" s="88"/>
      <c r="T238" s="88"/>
      <c r="U238" s="88"/>
      <c r="V238" s="88"/>
      <c r="W238" s="88"/>
      <c r="X238" s="88"/>
      <c r="Y238" s="88"/>
      <c r="Z238" s="88"/>
      <c r="AA238" s="88"/>
      <c r="AB238" s="88"/>
      <c r="AC238" s="88"/>
      <c r="AD238" s="88"/>
      <c r="AE238" s="88"/>
    </row>
    <row r="239" spans="1:31" ht="15.75" customHeight="1" x14ac:dyDescent="0.3">
      <c r="L239" s="88"/>
      <c r="M239" s="88"/>
      <c r="N239" s="88"/>
      <c r="O239" s="88"/>
      <c r="P239" s="88"/>
      <c r="Q239" s="88"/>
      <c r="R239" s="88"/>
      <c r="S239" s="88"/>
      <c r="T239" s="88"/>
      <c r="U239" s="88"/>
      <c r="V239" s="88"/>
      <c r="W239" s="88"/>
      <c r="X239" s="88"/>
      <c r="Y239" s="88"/>
      <c r="Z239" s="88"/>
      <c r="AA239" s="88"/>
      <c r="AB239" s="88"/>
      <c r="AC239" s="88"/>
      <c r="AD239" s="88"/>
      <c r="AE239" s="88"/>
    </row>
    <row r="240" spans="1:31" ht="15.75" customHeight="1" x14ac:dyDescent="0.3">
      <c r="L240" s="88"/>
      <c r="M240" s="88"/>
      <c r="N240" s="88"/>
      <c r="O240" s="88"/>
      <c r="P240" s="88"/>
      <c r="Q240" s="88"/>
      <c r="R240" s="88"/>
      <c r="S240" s="88"/>
      <c r="T240" s="88"/>
      <c r="U240" s="88"/>
      <c r="V240" s="88"/>
      <c r="W240" s="88"/>
      <c r="X240" s="88"/>
      <c r="Y240" s="88"/>
      <c r="Z240" s="88"/>
      <c r="AA240" s="88"/>
      <c r="AB240" s="88"/>
      <c r="AC240" s="88"/>
      <c r="AD240" s="88"/>
      <c r="AE240" s="88"/>
    </row>
    <row r="241" spans="12:31" ht="15.75" customHeight="1" x14ac:dyDescent="0.3">
      <c r="L241" s="88"/>
      <c r="M241" s="88"/>
      <c r="N241" s="88"/>
      <c r="O241" s="88"/>
      <c r="P241" s="88"/>
      <c r="Q241" s="88"/>
      <c r="R241" s="88"/>
      <c r="S241" s="88"/>
      <c r="T241" s="88"/>
      <c r="U241" s="88"/>
      <c r="V241" s="88"/>
      <c r="W241" s="88"/>
      <c r="X241" s="88"/>
      <c r="Y241" s="88"/>
      <c r="Z241" s="88"/>
      <c r="AA241" s="88"/>
      <c r="AB241" s="88"/>
      <c r="AC241" s="88"/>
      <c r="AD241" s="88"/>
      <c r="AE241" s="88"/>
    </row>
    <row r="242" spans="12:31" ht="15.75" customHeight="1" x14ac:dyDescent="0.3">
      <c r="L242" s="88"/>
      <c r="M242" s="88"/>
      <c r="N242" s="88"/>
      <c r="O242" s="88"/>
      <c r="P242" s="88"/>
      <c r="Q242" s="88"/>
      <c r="R242" s="88"/>
      <c r="S242" s="88"/>
      <c r="T242" s="88"/>
      <c r="U242" s="88"/>
      <c r="V242" s="88"/>
      <c r="W242" s="88"/>
      <c r="X242" s="88"/>
      <c r="Y242" s="88"/>
      <c r="Z242" s="88"/>
      <c r="AA242" s="88"/>
      <c r="AB242" s="88"/>
      <c r="AC242" s="88"/>
      <c r="AD242" s="88"/>
      <c r="AE242" s="88"/>
    </row>
    <row r="243" spans="12:31" ht="15.75" customHeight="1" x14ac:dyDescent="0.3">
      <c r="L243" s="88"/>
      <c r="M243" s="88"/>
      <c r="N243" s="88"/>
      <c r="O243" s="88"/>
      <c r="P243" s="88"/>
      <c r="Q243" s="88"/>
      <c r="R243" s="88"/>
      <c r="S243" s="88"/>
      <c r="T243" s="88"/>
      <c r="U243" s="88"/>
      <c r="V243" s="88"/>
      <c r="W243" s="88"/>
      <c r="X243" s="88"/>
      <c r="Y243" s="88"/>
      <c r="Z243" s="88"/>
      <c r="AA243" s="88"/>
      <c r="AB243" s="88"/>
      <c r="AC243" s="88"/>
      <c r="AD243" s="88"/>
      <c r="AE243" s="88"/>
    </row>
    <row r="244" spans="12:31" ht="15.75" customHeight="1" x14ac:dyDescent="0.3">
      <c r="L244" s="88"/>
      <c r="M244" s="88"/>
      <c r="N244" s="88"/>
      <c r="O244" s="88"/>
      <c r="P244" s="88"/>
      <c r="Q244" s="88"/>
      <c r="R244" s="88"/>
      <c r="S244" s="88"/>
      <c r="T244" s="88"/>
      <c r="U244" s="88"/>
      <c r="V244" s="88"/>
      <c r="W244" s="88"/>
      <c r="X244" s="88"/>
      <c r="Y244" s="88"/>
      <c r="Z244" s="88"/>
      <c r="AA244" s="88"/>
      <c r="AB244" s="88"/>
      <c r="AC244" s="88"/>
      <c r="AD244" s="88"/>
      <c r="AE244" s="88"/>
    </row>
    <row r="245" spans="12:31" ht="15.75" customHeight="1" x14ac:dyDescent="0.3">
      <c r="L245" s="88"/>
      <c r="M245" s="88"/>
      <c r="N245" s="88"/>
      <c r="O245" s="88"/>
      <c r="P245" s="88"/>
      <c r="Q245" s="88"/>
      <c r="R245" s="88"/>
      <c r="S245" s="88"/>
      <c r="T245" s="88"/>
      <c r="U245" s="88"/>
      <c r="V245" s="88"/>
      <c r="W245" s="88"/>
      <c r="X245" s="88"/>
      <c r="Y245" s="88"/>
      <c r="Z245" s="88"/>
      <c r="AA245" s="88"/>
      <c r="AB245" s="88"/>
      <c r="AC245" s="88"/>
      <c r="AD245" s="88"/>
      <c r="AE245" s="88"/>
    </row>
    <row r="246" spans="12:31" ht="15.75" customHeight="1" x14ac:dyDescent="0.3">
      <c r="L246" s="88"/>
      <c r="M246" s="88"/>
      <c r="N246" s="88"/>
      <c r="O246" s="88"/>
      <c r="P246" s="88"/>
      <c r="Q246" s="88"/>
      <c r="R246" s="88"/>
      <c r="S246" s="88"/>
      <c r="T246" s="88"/>
      <c r="U246" s="88"/>
      <c r="V246" s="88"/>
      <c r="W246" s="88"/>
      <c r="X246" s="88"/>
      <c r="Y246" s="88"/>
      <c r="Z246" s="88"/>
      <c r="AA246" s="88"/>
      <c r="AB246" s="88"/>
      <c r="AC246" s="88"/>
      <c r="AD246" s="88"/>
      <c r="AE246" s="88"/>
    </row>
    <row r="247" spans="12:31" ht="15.75" customHeight="1" x14ac:dyDescent="0.3">
      <c r="L247" s="88"/>
      <c r="M247" s="88"/>
      <c r="N247" s="88"/>
      <c r="O247" s="88"/>
      <c r="P247" s="88"/>
      <c r="Q247" s="88"/>
      <c r="R247" s="88"/>
      <c r="S247" s="88"/>
      <c r="T247" s="88"/>
      <c r="U247" s="88"/>
      <c r="V247" s="88"/>
      <c r="W247" s="88"/>
      <c r="X247" s="88"/>
      <c r="Y247" s="88"/>
      <c r="Z247" s="88"/>
      <c r="AA247" s="88"/>
      <c r="AB247" s="88"/>
      <c r="AC247" s="88"/>
      <c r="AD247" s="88"/>
      <c r="AE247" s="88"/>
    </row>
    <row r="248" spans="12:31" ht="15.75" customHeight="1" x14ac:dyDescent="0.3">
      <c r="L248" s="88"/>
      <c r="M248" s="88"/>
      <c r="N248" s="88"/>
      <c r="O248" s="88"/>
      <c r="P248" s="88"/>
      <c r="Q248" s="88"/>
      <c r="R248" s="88"/>
      <c r="S248" s="88"/>
      <c r="T248" s="88"/>
      <c r="U248" s="88"/>
      <c r="V248" s="88"/>
      <c r="W248" s="88"/>
      <c r="X248" s="88"/>
      <c r="Y248" s="88"/>
      <c r="Z248" s="88"/>
      <c r="AA248" s="88"/>
      <c r="AB248" s="88"/>
      <c r="AC248" s="88"/>
      <c r="AD248" s="88"/>
      <c r="AE248" s="88"/>
    </row>
    <row r="249" spans="12:31" ht="15.75" customHeight="1" x14ac:dyDescent="0.3">
      <c r="L249" s="88"/>
      <c r="M249" s="88"/>
      <c r="N249" s="88"/>
      <c r="O249" s="88"/>
      <c r="P249" s="88"/>
      <c r="Q249" s="88"/>
      <c r="R249" s="88"/>
      <c r="S249" s="88"/>
      <c r="T249" s="88"/>
      <c r="U249" s="88"/>
      <c r="V249" s="88"/>
      <c r="W249" s="88"/>
      <c r="X249" s="88"/>
      <c r="Y249" s="88"/>
      <c r="Z249" s="88"/>
      <c r="AA249" s="88"/>
      <c r="AB249" s="88"/>
      <c r="AC249" s="88"/>
      <c r="AD249" s="88"/>
      <c r="AE249" s="88"/>
    </row>
    <row r="250" spans="12:31" ht="15.75" customHeight="1" x14ac:dyDescent="0.3">
      <c r="L250" s="88"/>
      <c r="M250" s="88"/>
      <c r="N250" s="88"/>
      <c r="O250" s="88"/>
      <c r="P250" s="88"/>
      <c r="Q250" s="88"/>
      <c r="R250" s="88"/>
      <c r="S250" s="88"/>
      <c r="T250" s="88"/>
      <c r="U250" s="88"/>
      <c r="V250" s="88"/>
      <c r="W250" s="88"/>
      <c r="X250" s="88"/>
      <c r="Y250" s="88"/>
      <c r="Z250" s="88"/>
      <c r="AA250" s="88"/>
      <c r="AB250" s="88"/>
      <c r="AC250" s="88"/>
      <c r="AD250" s="88"/>
      <c r="AE250" s="88"/>
    </row>
    <row r="251" spans="12:31" ht="15.75" customHeight="1" x14ac:dyDescent="0.3">
      <c r="L251" s="88"/>
      <c r="M251" s="88"/>
      <c r="N251" s="88"/>
      <c r="O251" s="88"/>
      <c r="P251" s="88"/>
      <c r="Q251" s="88"/>
      <c r="R251" s="88"/>
      <c r="S251" s="88"/>
      <c r="T251" s="88"/>
      <c r="U251" s="88"/>
      <c r="V251" s="88"/>
      <c r="W251" s="88"/>
      <c r="X251" s="88"/>
      <c r="Y251" s="88"/>
      <c r="Z251" s="88"/>
      <c r="AA251" s="88"/>
      <c r="AB251" s="88"/>
      <c r="AC251" s="88"/>
      <c r="AD251" s="88"/>
      <c r="AE251" s="88"/>
    </row>
    <row r="252" spans="12:31" ht="15.75" customHeight="1" x14ac:dyDescent="0.3">
      <c r="L252" s="88"/>
      <c r="M252" s="88"/>
      <c r="N252" s="88"/>
      <c r="O252" s="88"/>
      <c r="P252" s="88"/>
      <c r="Q252" s="88"/>
      <c r="R252" s="88"/>
      <c r="S252" s="88"/>
      <c r="T252" s="88"/>
      <c r="U252" s="88"/>
      <c r="V252" s="88"/>
      <c r="W252" s="88"/>
      <c r="X252" s="88"/>
      <c r="Y252" s="88"/>
      <c r="Z252" s="88"/>
      <c r="AA252" s="88"/>
      <c r="AB252" s="88"/>
      <c r="AC252" s="88"/>
      <c r="AD252" s="88"/>
      <c r="AE252" s="88"/>
    </row>
    <row r="253" spans="12:31" ht="15.75" customHeight="1" x14ac:dyDescent="0.3">
      <c r="L253" s="88"/>
      <c r="M253" s="88"/>
      <c r="N253" s="88"/>
      <c r="O253" s="88"/>
      <c r="P253" s="88"/>
      <c r="Q253" s="88"/>
      <c r="R253" s="88"/>
      <c r="S253" s="88"/>
      <c r="T253" s="88"/>
      <c r="U253" s="88"/>
      <c r="V253" s="88"/>
      <c r="W253" s="88"/>
      <c r="X253" s="88"/>
      <c r="Y253" s="88"/>
      <c r="Z253" s="88"/>
      <c r="AA253" s="88"/>
      <c r="AB253" s="88"/>
      <c r="AC253" s="88"/>
      <c r="AD253" s="88"/>
      <c r="AE253" s="88"/>
    </row>
    <row r="254" spans="12:31" ht="15.75" customHeight="1" x14ac:dyDescent="0.3">
      <c r="L254" s="88"/>
      <c r="M254" s="88"/>
      <c r="N254" s="88"/>
      <c r="O254" s="88"/>
      <c r="P254" s="88"/>
      <c r="Q254" s="88"/>
      <c r="R254" s="88"/>
      <c r="S254" s="88"/>
      <c r="T254" s="88"/>
      <c r="U254" s="88"/>
      <c r="V254" s="88"/>
      <c r="W254" s="88"/>
      <c r="X254" s="88"/>
      <c r="Y254" s="88"/>
      <c r="Z254" s="88"/>
      <c r="AA254" s="88"/>
      <c r="AB254" s="88"/>
      <c r="AC254" s="88"/>
      <c r="AD254" s="88"/>
      <c r="AE254" s="88"/>
    </row>
    <row r="255" spans="12:31" ht="15.75" customHeight="1" x14ac:dyDescent="0.3">
      <c r="L255" s="88"/>
      <c r="M255" s="88"/>
      <c r="N255" s="88"/>
      <c r="O255" s="88"/>
      <c r="P255" s="88"/>
      <c r="Q255" s="88"/>
      <c r="R255" s="88"/>
      <c r="S255" s="88"/>
      <c r="T255" s="88"/>
      <c r="U255" s="88"/>
      <c r="V255" s="88"/>
      <c r="W255" s="88"/>
      <c r="X255" s="88"/>
      <c r="Y255" s="88"/>
      <c r="Z255" s="88"/>
      <c r="AA255" s="88"/>
      <c r="AB255" s="88"/>
      <c r="AC255" s="88"/>
      <c r="AD255" s="88"/>
      <c r="AE255" s="88"/>
    </row>
    <row r="256" spans="12:31" ht="15.75" customHeight="1" x14ac:dyDescent="0.3">
      <c r="L256" s="88"/>
      <c r="M256" s="88"/>
      <c r="N256" s="88"/>
      <c r="O256" s="88"/>
      <c r="P256" s="88"/>
      <c r="Q256" s="88"/>
      <c r="R256" s="88"/>
      <c r="S256" s="88"/>
      <c r="T256" s="88"/>
      <c r="U256" s="88"/>
      <c r="V256" s="88"/>
      <c r="W256" s="88"/>
      <c r="X256" s="88"/>
      <c r="Y256" s="88"/>
      <c r="Z256" s="88"/>
      <c r="AA256" s="88"/>
      <c r="AB256" s="88"/>
      <c r="AC256" s="88"/>
      <c r="AD256" s="88"/>
      <c r="AE256" s="88"/>
    </row>
    <row r="257" spans="12:31" ht="15.75" customHeight="1" x14ac:dyDescent="0.3">
      <c r="L257" s="88"/>
      <c r="M257" s="88"/>
      <c r="N257" s="88"/>
      <c r="O257" s="88"/>
      <c r="P257" s="88"/>
      <c r="Q257" s="88"/>
      <c r="R257" s="88"/>
      <c r="S257" s="88"/>
      <c r="T257" s="88"/>
      <c r="U257" s="88"/>
      <c r="V257" s="88"/>
      <c r="W257" s="88"/>
      <c r="X257" s="88"/>
      <c r="Y257" s="88"/>
      <c r="Z257" s="88"/>
      <c r="AA257" s="88"/>
      <c r="AB257" s="88"/>
      <c r="AC257" s="88"/>
      <c r="AD257" s="88"/>
      <c r="AE257" s="88"/>
    </row>
    <row r="258" spans="12:31" ht="15.75" customHeight="1" x14ac:dyDescent="0.3">
      <c r="L258" s="88"/>
      <c r="M258" s="88"/>
      <c r="N258" s="88"/>
      <c r="O258" s="88"/>
      <c r="P258" s="88"/>
      <c r="Q258" s="88"/>
      <c r="R258" s="88"/>
      <c r="S258" s="88"/>
      <c r="T258" s="88"/>
      <c r="U258" s="88"/>
      <c r="V258" s="88"/>
      <c r="W258" s="88"/>
      <c r="X258" s="88"/>
      <c r="Y258" s="88"/>
      <c r="Z258" s="88"/>
      <c r="AA258" s="88"/>
      <c r="AB258" s="88"/>
      <c r="AC258" s="88"/>
      <c r="AD258" s="88"/>
      <c r="AE258" s="88"/>
    </row>
    <row r="259" spans="12:31" ht="15.75" customHeight="1" x14ac:dyDescent="0.3">
      <c r="L259" s="88"/>
      <c r="M259" s="88"/>
      <c r="N259" s="88"/>
      <c r="O259" s="88"/>
      <c r="P259" s="88"/>
      <c r="Q259" s="88"/>
      <c r="R259" s="88"/>
      <c r="S259" s="88"/>
      <c r="T259" s="88"/>
      <c r="U259" s="88"/>
      <c r="V259" s="88"/>
      <c r="W259" s="88"/>
      <c r="X259" s="88"/>
      <c r="Y259" s="88"/>
      <c r="Z259" s="88"/>
      <c r="AA259" s="88"/>
      <c r="AB259" s="88"/>
      <c r="AC259" s="88"/>
      <c r="AD259" s="88"/>
      <c r="AE259" s="88"/>
    </row>
    <row r="260" spans="12:31" ht="15.75" customHeight="1" x14ac:dyDescent="0.3">
      <c r="L260" s="88"/>
      <c r="M260" s="88"/>
      <c r="N260" s="88"/>
      <c r="O260" s="88"/>
      <c r="P260" s="88"/>
      <c r="Q260" s="88"/>
      <c r="R260" s="88"/>
      <c r="S260" s="88"/>
      <c r="T260" s="88"/>
      <c r="U260" s="88"/>
      <c r="V260" s="88"/>
      <c r="W260" s="88"/>
      <c r="X260" s="88"/>
      <c r="Y260" s="88"/>
      <c r="Z260" s="88"/>
      <c r="AA260" s="88"/>
      <c r="AB260" s="88"/>
      <c r="AC260" s="88"/>
      <c r="AD260" s="88"/>
      <c r="AE260" s="88"/>
    </row>
    <row r="261" spans="12:31" ht="15.75" customHeight="1" x14ac:dyDescent="0.3">
      <c r="L261" s="88"/>
      <c r="M261" s="88"/>
      <c r="N261" s="88"/>
      <c r="O261" s="88"/>
      <c r="P261" s="88"/>
      <c r="Q261" s="88"/>
      <c r="R261" s="88"/>
      <c r="S261" s="88"/>
      <c r="T261" s="88"/>
      <c r="U261" s="88"/>
      <c r="V261" s="88"/>
      <c r="W261" s="88"/>
      <c r="X261" s="88"/>
      <c r="Y261" s="88"/>
      <c r="Z261" s="88"/>
      <c r="AA261" s="88"/>
      <c r="AB261" s="88"/>
      <c r="AC261" s="88"/>
      <c r="AD261" s="88"/>
      <c r="AE261" s="88"/>
    </row>
    <row r="262" spans="12:31" ht="15.75" customHeight="1" x14ac:dyDescent="0.3">
      <c r="L262" s="88"/>
      <c r="M262" s="88"/>
      <c r="N262" s="88"/>
      <c r="O262" s="88"/>
      <c r="P262" s="88"/>
      <c r="Q262" s="88"/>
      <c r="R262" s="88"/>
      <c r="S262" s="88"/>
      <c r="T262" s="88"/>
      <c r="U262" s="88"/>
      <c r="V262" s="88"/>
      <c r="W262" s="88"/>
      <c r="X262" s="88"/>
      <c r="Y262" s="88"/>
      <c r="Z262" s="88"/>
      <c r="AA262" s="88"/>
      <c r="AB262" s="88"/>
      <c r="AC262" s="88"/>
      <c r="AD262" s="88"/>
      <c r="AE262" s="88"/>
    </row>
    <row r="263" spans="12:31" ht="15.75" customHeight="1" x14ac:dyDescent="0.3">
      <c r="L263" s="88"/>
      <c r="M263" s="88"/>
      <c r="N263" s="88"/>
      <c r="O263" s="88"/>
      <c r="P263" s="88"/>
      <c r="Q263" s="88"/>
      <c r="R263" s="88"/>
      <c r="S263" s="88"/>
      <c r="T263" s="88"/>
      <c r="U263" s="88"/>
      <c r="V263" s="88"/>
      <c r="W263" s="88"/>
      <c r="X263" s="88"/>
      <c r="Y263" s="88"/>
      <c r="Z263" s="88"/>
      <c r="AA263" s="88"/>
      <c r="AB263" s="88"/>
      <c r="AC263" s="88"/>
      <c r="AD263" s="88"/>
      <c r="AE263" s="88"/>
    </row>
    <row r="264" spans="12:31" ht="15.75" customHeight="1" x14ac:dyDescent="0.3">
      <c r="L264" s="88"/>
      <c r="M264" s="88"/>
      <c r="N264" s="88"/>
      <c r="O264" s="88"/>
      <c r="P264" s="88"/>
      <c r="Q264" s="88"/>
      <c r="R264" s="88"/>
      <c r="S264" s="88"/>
      <c r="T264" s="88"/>
      <c r="U264" s="88"/>
      <c r="V264" s="88"/>
      <c r="W264" s="88"/>
      <c r="X264" s="88"/>
      <c r="Y264" s="88"/>
      <c r="Z264" s="88"/>
      <c r="AA264" s="88"/>
      <c r="AB264" s="88"/>
      <c r="AC264" s="88"/>
      <c r="AD264" s="88"/>
      <c r="AE264" s="88"/>
    </row>
    <row r="265" spans="12:31" ht="15.75" customHeight="1" x14ac:dyDescent="0.3">
      <c r="L265" s="88"/>
      <c r="M265" s="88"/>
      <c r="N265" s="88"/>
      <c r="O265" s="88"/>
      <c r="P265" s="88"/>
      <c r="Q265" s="88"/>
      <c r="R265" s="88"/>
      <c r="S265" s="88"/>
      <c r="T265" s="88"/>
      <c r="U265" s="88"/>
      <c r="V265" s="88"/>
      <c r="W265" s="88"/>
      <c r="X265" s="88"/>
      <c r="Y265" s="88"/>
      <c r="Z265" s="88"/>
      <c r="AA265" s="88"/>
      <c r="AB265" s="88"/>
      <c r="AC265" s="88"/>
      <c r="AD265" s="88"/>
      <c r="AE265" s="88"/>
    </row>
    <row r="266" spans="12:31" ht="15.75" customHeight="1" x14ac:dyDescent="0.3">
      <c r="L266" s="88"/>
      <c r="M266" s="88"/>
      <c r="N266" s="88"/>
      <c r="O266" s="88"/>
      <c r="P266" s="88"/>
      <c r="Q266" s="88"/>
      <c r="R266" s="88"/>
      <c r="S266" s="88"/>
      <c r="T266" s="88"/>
      <c r="U266" s="88"/>
      <c r="V266" s="88"/>
      <c r="W266" s="88"/>
      <c r="X266" s="88"/>
      <c r="Y266" s="88"/>
      <c r="Z266" s="88"/>
      <c r="AA266" s="88"/>
      <c r="AB266" s="88"/>
      <c r="AC266" s="88"/>
      <c r="AD266" s="88"/>
      <c r="AE266" s="88"/>
    </row>
    <row r="267" spans="12:31" ht="15.75" customHeight="1" x14ac:dyDescent="0.3">
      <c r="L267" s="88"/>
      <c r="M267" s="88"/>
      <c r="N267" s="88"/>
      <c r="O267" s="88"/>
      <c r="P267" s="88"/>
      <c r="Q267" s="88"/>
      <c r="R267" s="88"/>
      <c r="S267" s="88"/>
      <c r="T267" s="88"/>
      <c r="U267" s="88"/>
      <c r="V267" s="88"/>
      <c r="W267" s="88"/>
      <c r="X267" s="88"/>
      <c r="Y267" s="88"/>
      <c r="Z267" s="88"/>
      <c r="AA267" s="88"/>
      <c r="AB267" s="88"/>
      <c r="AC267" s="88"/>
      <c r="AD267" s="88"/>
      <c r="AE267" s="88"/>
    </row>
    <row r="268" spans="12:31" ht="15.75" customHeight="1" x14ac:dyDescent="0.3">
      <c r="L268" s="88"/>
      <c r="M268" s="88"/>
      <c r="N268" s="88"/>
      <c r="O268" s="88"/>
      <c r="P268" s="88"/>
      <c r="Q268" s="88"/>
      <c r="R268" s="88"/>
      <c r="S268" s="88"/>
      <c r="T268" s="88"/>
      <c r="U268" s="88"/>
      <c r="V268" s="88"/>
      <c r="W268" s="88"/>
      <c r="X268" s="88"/>
      <c r="Y268" s="88"/>
      <c r="Z268" s="88"/>
      <c r="AA268" s="88"/>
      <c r="AB268" s="88"/>
      <c r="AC268" s="88"/>
      <c r="AD268" s="88"/>
      <c r="AE268" s="88"/>
    </row>
    <row r="269" spans="12:31" ht="15.75" customHeight="1" x14ac:dyDescent="0.3">
      <c r="L269" s="88"/>
      <c r="M269" s="88"/>
      <c r="N269" s="88"/>
      <c r="O269" s="88"/>
      <c r="P269" s="88"/>
      <c r="Q269" s="88"/>
      <c r="R269" s="88"/>
      <c r="S269" s="88"/>
      <c r="T269" s="88"/>
      <c r="U269" s="88"/>
      <c r="V269" s="88"/>
      <c r="W269" s="88"/>
      <c r="X269" s="88"/>
      <c r="Y269" s="88"/>
      <c r="Z269" s="88"/>
      <c r="AA269" s="88"/>
      <c r="AB269" s="88"/>
      <c r="AC269" s="88"/>
      <c r="AD269" s="88"/>
      <c r="AE269" s="88"/>
    </row>
    <row r="270" spans="12:31" ht="15.75" customHeight="1" x14ac:dyDescent="0.3">
      <c r="L270" s="88"/>
      <c r="M270" s="88"/>
      <c r="N270" s="88"/>
      <c r="O270" s="88"/>
      <c r="P270" s="88"/>
      <c r="Q270" s="88"/>
      <c r="R270" s="88"/>
      <c r="S270" s="88"/>
      <c r="T270" s="88"/>
      <c r="U270" s="88"/>
      <c r="V270" s="88"/>
      <c r="W270" s="88"/>
      <c r="X270" s="88"/>
      <c r="Y270" s="88"/>
      <c r="Z270" s="88"/>
      <c r="AA270" s="88"/>
      <c r="AB270" s="88"/>
      <c r="AC270" s="88"/>
      <c r="AD270" s="88"/>
      <c r="AE270" s="88"/>
    </row>
    <row r="271" spans="12:31" ht="15.75" customHeight="1" x14ac:dyDescent="0.3">
      <c r="L271" s="88"/>
      <c r="M271" s="88"/>
      <c r="N271" s="88"/>
      <c r="O271" s="88"/>
      <c r="P271" s="88"/>
      <c r="Q271" s="88"/>
      <c r="R271" s="88"/>
      <c r="S271" s="88"/>
      <c r="T271" s="88"/>
      <c r="U271" s="88"/>
      <c r="V271" s="88"/>
      <c r="W271" s="88"/>
      <c r="X271" s="88"/>
      <c r="Y271" s="88"/>
      <c r="Z271" s="88"/>
      <c r="AA271" s="88"/>
      <c r="AB271" s="88"/>
      <c r="AC271" s="88"/>
      <c r="AD271" s="88"/>
      <c r="AE271" s="88"/>
    </row>
    <row r="272" spans="12:31" ht="15.75" customHeight="1" x14ac:dyDescent="0.3">
      <c r="L272" s="88"/>
      <c r="M272" s="88"/>
      <c r="N272" s="88"/>
      <c r="O272" s="88"/>
      <c r="P272" s="88"/>
      <c r="Q272" s="88"/>
      <c r="R272" s="88"/>
      <c r="S272" s="88"/>
      <c r="T272" s="88"/>
      <c r="U272" s="88"/>
      <c r="V272" s="88"/>
      <c r="W272" s="88"/>
      <c r="X272" s="88"/>
      <c r="Y272" s="88"/>
      <c r="Z272" s="88"/>
      <c r="AA272" s="88"/>
      <c r="AB272" s="88"/>
      <c r="AC272" s="88"/>
      <c r="AD272" s="88"/>
      <c r="AE272" s="88"/>
    </row>
    <row r="273" spans="12:31" ht="15.75" customHeight="1" x14ac:dyDescent="0.3">
      <c r="L273" s="88"/>
      <c r="M273" s="88"/>
      <c r="N273" s="88"/>
      <c r="O273" s="88"/>
      <c r="P273" s="88"/>
      <c r="Q273" s="88"/>
      <c r="R273" s="88"/>
      <c r="S273" s="88"/>
      <c r="T273" s="88"/>
      <c r="U273" s="88"/>
      <c r="V273" s="88"/>
      <c r="W273" s="88"/>
      <c r="X273" s="88"/>
      <c r="Y273" s="88"/>
      <c r="Z273" s="88"/>
      <c r="AA273" s="88"/>
      <c r="AB273" s="88"/>
      <c r="AC273" s="88"/>
      <c r="AD273" s="88"/>
      <c r="AE273" s="88"/>
    </row>
    <row r="274" spans="12:31" ht="15.75" customHeight="1" x14ac:dyDescent="0.3">
      <c r="L274" s="88"/>
      <c r="M274" s="88"/>
      <c r="N274" s="88"/>
      <c r="O274" s="88"/>
      <c r="P274" s="88"/>
      <c r="Q274" s="88"/>
      <c r="R274" s="88"/>
      <c r="S274" s="88"/>
      <c r="T274" s="88"/>
      <c r="U274" s="88"/>
      <c r="V274" s="88"/>
      <c r="W274" s="88"/>
      <c r="X274" s="88"/>
      <c r="Y274" s="88"/>
      <c r="Z274" s="88"/>
      <c r="AA274" s="88"/>
      <c r="AB274" s="88"/>
      <c r="AC274" s="88"/>
      <c r="AD274" s="88"/>
      <c r="AE274" s="88"/>
    </row>
    <row r="275" spans="12:31" ht="15.75" customHeight="1" x14ac:dyDescent="0.3">
      <c r="L275" s="88"/>
      <c r="M275" s="88"/>
      <c r="N275" s="88"/>
      <c r="O275" s="88"/>
      <c r="P275" s="88"/>
      <c r="Q275" s="88"/>
      <c r="R275" s="88"/>
      <c r="S275" s="88"/>
      <c r="T275" s="88"/>
      <c r="U275" s="88"/>
      <c r="V275" s="88"/>
      <c r="W275" s="88"/>
      <c r="X275" s="88"/>
      <c r="Y275" s="88"/>
      <c r="Z275" s="88"/>
      <c r="AA275" s="88"/>
      <c r="AB275" s="88"/>
      <c r="AC275" s="88"/>
      <c r="AD275" s="88"/>
      <c r="AE275" s="88"/>
    </row>
    <row r="276" spans="12:31" ht="15.75" customHeight="1" x14ac:dyDescent="0.3">
      <c r="L276" s="88"/>
      <c r="M276" s="88"/>
      <c r="N276" s="88"/>
      <c r="O276" s="88"/>
      <c r="P276" s="88"/>
      <c r="Q276" s="88"/>
      <c r="R276" s="88"/>
      <c r="S276" s="88"/>
      <c r="T276" s="88"/>
      <c r="U276" s="88"/>
      <c r="V276" s="88"/>
      <c r="W276" s="88"/>
      <c r="X276" s="88"/>
      <c r="Y276" s="88"/>
      <c r="Z276" s="88"/>
      <c r="AA276" s="88"/>
      <c r="AB276" s="88"/>
      <c r="AC276" s="88"/>
      <c r="AD276" s="88"/>
      <c r="AE276" s="88"/>
    </row>
    <row r="277" spans="12:31" ht="15.75" customHeight="1" x14ac:dyDescent="0.3">
      <c r="L277" s="88"/>
      <c r="M277" s="88"/>
      <c r="N277" s="88"/>
      <c r="O277" s="88"/>
      <c r="P277" s="88"/>
      <c r="Q277" s="88"/>
      <c r="R277" s="88"/>
      <c r="S277" s="88"/>
      <c r="T277" s="88"/>
      <c r="U277" s="88"/>
      <c r="V277" s="88"/>
      <c r="W277" s="88"/>
      <c r="X277" s="88"/>
      <c r="Y277" s="88"/>
      <c r="Z277" s="88"/>
      <c r="AA277" s="88"/>
      <c r="AB277" s="88"/>
      <c r="AC277" s="88"/>
      <c r="AD277" s="88"/>
      <c r="AE277" s="88"/>
    </row>
    <row r="278" spans="12:31" ht="15.75" customHeight="1" x14ac:dyDescent="0.3">
      <c r="L278" s="88"/>
      <c r="M278" s="88"/>
      <c r="N278" s="88"/>
      <c r="O278" s="88"/>
      <c r="P278" s="88"/>
      <c r="Q278" s="88"/>
      <c r="R278" s="88"/>
      <c r="S278" s="88"/>
      <c r="T278" s="88"/>
      <c r="U278" s="88"/>
      <c r="V278" s="88"/>
      <c r="W278" s="88"/>
      <c r="X278" s="88"/>
      <c r="Y278" s="88"/>
      <c r="Z278" s="88"/>
      <c r="AA278" s="88"/>
      <c r="AB278" s="88"/>
      <c r="AC278" s="88"/>
      <c r="AD278" s="88"/>
      <c r="AE278" s="88"/>
    </row>
    <row r="279" spans="12:31" ht="15.75" customHeight="1" x14ac:dyDescent="0.3">
      <c r="L279" s="88"/>
      <c r="M279" s="88"/>
      <c r="N279" s="88"/>
      <c r="O279" s="88"/>
      <c r="P279" s="88"/>
      <c r="Q279" s="88"/>
      <c r="R279" s="88"/>
      <c r="S279" s="88"/>
      <c r="T279" s="88"/>
      <c r="U279" s="88"/>
      <c r="V279" s="88"/>
      <c r="W279" s="88"/>
      <c r="X279" s="88"/>
      <c r="Y279" s="88"/>
      <c r="Z279" s="88"/>
      <c r="AA279" s="88"/>
      <c r="AB279" s="88"/>
      <c r="AC279" s="88"/>
      <c r="AD279" s="88"/>
      <c r="AE279" s="88"/>
    </row>
    <row r="280" spans="12:31" ht="15.75" customHeight="1" x14ac:dyDescent="0.3">
      <c r="L280" s="88"/>
      <c r="M280" s="88"/>
      <c r="N280" s="88"/>
      <c r="O280" s="88"/>
      <c r="P280" s="88"/>
      <c r="Q280" s="88"/>
      <c r="R280" s="88"/>
      <c r="S280" s="88"/>
      <c r="T280" s="88"/>
      <c r="U280" s="88"/>
      <c r="V280" s="88"/>
      <c r="W280" s="88"/>
      <c r="X280" s="88"/>
      <c r="Y280" s="88"/>
      <c r="Z280" s="88"/>
      <c r="AA280" s="88"/>
      <c r="AB280" s="88"/>
      <c r="AC280" s="88"/>
      <c r="AD280" s="88"/>
      <c r="AE280" s="88"/>
    </row>
    <row r="281" spans="12:31" ht="15.75" customHeight="1" x14ac:dyDescent="0.3">
      <c r="L281" s="88"/>
      <c r="M281" s="88"/>
      <c r="N281" s="88"/>
      <c r="O281" s="88"/>
      <c r="P281" s="88"/>
      <c r="Q281" s="88"/>
      <c r="R281" s="88"/>
      <c r="S281" s="88"/>
      <c r="T281" s="88"/>
      <c r="U281" s="88"/>
      <c r="V281" s="88"/>
      <c r="W281" s="88"/>
      <c r="X281" s="88"/>
      <c r="Y281" s="88"/>
      <c r="Z281" s="88"/>
      <c r="AA281" s="88"/>
      <c r="AB281" s="88"/>
      <c r="AC281" s="88"/>
      <c r="AD281" s="88"/>
      <c r="AE281" s="88"/>
    </row>
    <row r="282" spans="12:31" ht="15.75" customHeight="1" x14ac:dyDescent="0.3">
      <c r="L282" s="88"/>
      <c r="M282" s="88"/>
      <c r="N282" s="88"/>
      <c r="O282" s="88"/>
      <c r="P282" s="88"/>
      <c r="Q282" s="88"/>
      <c r="R282" s="88"/>
      <c r="S282" s="88"/>
      <c r="T282" s="88"/>
      <c r="U282" s="88"/>
      <c r="V282" s="88"/>
      <c r="W282" s="88"/>
      <c r="X282" s="88"/>
      <c r="Y282" s="88"/>
      <c r="Z282" s="88"/>
      <c r="AA282" s="88"/>
      <c r="AB282" s="88"/>
      <c r="AC282" s="88"/>
      <c r="AD282" s="88"/>
      <c r="AE282" s="88"/>
    </row>
    <row r="283" spans="12:31" ht="15.75" customHeight="1" x14ac:dyDescent="0.3">
      <c r="L283" s="88"/>
      <c r="M283" s="88"/>
      <c r="N283" s="88"/>
      <c r="O283" s="88"/>
      <c r="P283" s="88"/>
      <c r="Q283" s="88"/>
      <c r="R283" s="88"/>
      <c r="S283" s="88"/>
      <c r="T283" s="88"/>
      <c r="U283" s="88"/>
      <c r="V283" s="88"/>
      <c r="W283" s="88"/>
      <c r="X283" s="88"/>
      <c r="Y283" s="88"/>
      <c r="Z283" s="88"/>
      <c r="AA283" s="88"/>
      <c r="AB283" s="88"/>
      <c r="AC283" s="88"/>
      <c r="AD283" s="88"/>
      <c r="AE283" s="88"/>
    </row>
    <row r="284" spans="12:31" ht="15.75" customHeight="1" x14ac:dyDescent="0.3">
      <c r="L284" s="88"/>
      <c r="M284" s="88"/>
      <c r="N284" s="88"/>
      <c r="O284" s="88"/>
      <c r="P284" s="88"/>
      <c r="Q284" s="88"/>
      <c r="R284" s="88"/>
      <c r="S284" s="88"/>
      <c r="T284" s="88"/>
      <c r="U284" s="88"/>
      <c r="V284" s="88"/>
      <c r="W284" s="88"/>
      <c r="X284" s="88"/>
      <c r="Y284" s="88"/>
      <c r="Z284" s="88"/>
      <c r="AA284" s="88"/>
      <c r="AB284" s="88"/>
      <c r="AC284" s="88"/>
      <c r="AD284" s="88"/>
      <c r="AE284" s="88"/>
    </row>
    <row r="285" spans="12:31" ht="15.75" customHeight="1" x14ac:dyDescent="0.3">
      <c r="L285" s="88"/>
      <c r="M285" s="88"/>
      <c r="N285" s="88"/>
      <c r="O285" s="88"/>
      <c r="P285" s="88"/>
      <c r="Q285" s="88"/>
      <c r="R285" s="88"/>
      <c r="S285" s="88"/>
      <c r="T285" s="88"/>
      <c r="U285" s="88"/>
      <c r="V285" s="88"/>
      <c r="W285" s="88"/>
      <c r="X285" s="88"/>
      <c r="Y285" s="88"/>
      <c r="Z285" s="88"/>
      <c r="AA285" s="88"/>
      <c r="AB285" s="88"/>
      <c r="AC285" s="88"/>
      <c r="AD285" s="88"/>
      <c r="AE285" s="88"/>
    </row>
    <row r="286" spans="12:31" ht="15.75" customHeight="1" x14ac:dyDescent="0.3">
      <c r="L286" s="88"/>
      <c r="M286" s="88"/>
      <c r="N286" s="88"/>
      <c r="O286" s="88"/>
      <c r="P286" s="88"/>
      <c r="Q286" s="88"/>
      <c r="R286" s="88"/>
      <c r="S286" s="88"/>
      <c r="T286" s="88"/>
      <c r="U286" s="88"/>
      <c r="V286" s="88"/>
      <c r="W286" s="88"/>
      <c r="X286" s="88"/>
      <c r="Y286" s="88"/>
      <c r="Z286" s="88"/>
      <c r="AA286" s="88"/>
      <c r="AB286" s="88"/>
      <c r="AC286" s="88"/>
      <c r="AD286" s="88"/>
      <c r="AE286" s="88"/>
    </row>
    <row r="287" spans="12:31" ht="15.75" customHeight="1" x14ac:dyDescent="0.3">
      <c r="L287" s="88"/>
      <c r="M287" s="88"/>
      <c r="N287" s="88"/>
      <c r="O287" s="88"/>
      <c r="P287" s="88"/>
      <c r="Q287" s="88"/>
      <c r="R287" s="88"/>
      <c r="S287" s="88"/>
      <c r="T287" s="88"/>
      <c r="U287" s="88"/>
      <c r="V287" s="88"/>
      <c r="W287" s="88"/>
      <c r="X287" s="88"/>
      <c r="Y287" s="88"/>
      <c r="Z287" s="88"/>
      <c r="AA287" s="88"/>
      <c r="AB287" s="88"/>
      <c r="AC287" s="88"/>
      <c r="AD287" s="88"/>
      <c r="AE287" s="88"/>
    </row>
    <row r="288" spans="12:31" ht="15.75" customHeight="1" x14ac:dyDescent="0.3">
      <c r="L288" s="88"/>
      <c r="M288" s="88"/>
      <c r="N288" s="88"/>
      <c r="O288" s="88"/>
      <c r="P288" s="88"/>
      <c r="Q288" s="88"/>
      <c r="R288" s="88"/>
      <c r="S288" s="88"/>
      <c r="T288" s="88"/>
      <c r="U288" s="88"/>
      <c r="V288" s="88"/>
      <c r="W288" s="88"/>
      <c r="X288" s="88"/>
      <c r="Y288" s="88"/>
      <c r="Z288" s="88"/>
      <c r="AA288" s="88"/>
      <c r="AB288" s="88"/>
      <c r="AC288" s="88"/>
      <c r="AD288" s="88"/>
      <c r="AE288" s="88"/>
    </row>
    <row r="289" spans="12:31" ht="15.75" customHeight="1" x14ac:dyDescent="0.3">
      <c r="L289" s="88"/>
      <c r="M289" s="88"/>
      <c r="N289" s="88"/>
      <c r="O289" s="88"/>
      <c r="P289" s="88"/>
      <c r="Q289" s="88"/>
      <c r="R289" s="88"/>
      <c r="S289" s="88"/>
      <c r="T289" s="88"/>
      <c r="U289" s="88"/>
      <c r="V289" s="88"/>
      <c r="W289" s="88"/>
      <c r="X289" s="88"/>
      <c r="Y289" s="88"/>
      <c r="Z289" s="88"/>
      <c r="AA289" s="88"/>
      <c r="AB289" s="88"/>
      <c r="AC289" s="88"/>
      <c r="AD289" s="88"/>
      <c r="AE289" s="88"/>
    </row>
    <row r="290" spans="12:31" ht="15.75" customHeight="1" x14ac:dyDescent="0.3">
      <c r="L290" s="88"/>
      <c r="M290" s="88"/>
      <c r="N290" s="88"/>
      <c r="O290" s="88"/>
      <c r="P290" s="88"/>
      <c r="Q290" s="88"/>
      <c r="R290" s="88"/>
      <c r="S290" s="88"/>
      <c r="T290" s="88"/>
      <c r="U290" s="88"/>
      <c r="V290" s="88"/>
      <c r="W290" s="88"/>
      <c r="X290" s="88"/>
      <c r="Y290" s="88"/>
      <c r="Z290" s="88"/>
      <c r="AA290" s="88"/>
      <c r="AB290" s="88"/>
      <c r="AC290" s="88"/>
      <c r="AD290" s="88"/>
      <c r="AE290" s="88"/>
    </row>
    <row r="291" spans="12:31" ht="15.75" customHeight="1" x14ac:dyDescent="0.3">
      <c r="L291" s="88"/>
      <c r="M291" s="88"/>
      <c r="N291" s="88"/>
      <c r="O291" s="88"/>
      <c r="P291" s="88"/>
      <c r="Q291" s="88"/>
      <c r="R291" s="88"/>
      <c r="S291" s="88"/>
      <c r="T291" s="88"/>
      <c r="U291" s="88"/>
      <c r="V291" s="88"/>
      <c r="W291" s="88"/>
      <c r="X291" s="88"/>
      <c r="Y291" s="88"/>
      <c r="Z291" s="88"/>
      <c r="AA291" s="88"/>
      <c r="AB291" s="88"/>
      <c r="AC291" s="88"/>
      <c r="AD291" s="88"/>
      <c r="AE291" s="88"/>
    </row>
    <row r="292" spans="12:31" ht="15.75" customHeight="1" x14ac:dyDescent="0.3">
      <c r="L292" s="88"/>
      <c r="M292" s="88"/>
      <c r="N292" s="88"/>
      <c r="O292" s="88"/>
      <c r="P292" s="88"/>
      <c r="Q292" s="88"/>
      <c r="R292" s="88"/>
      <c r="S292" s="88"/>
      <c r="T292" s="88"/>
      <c r="U292" s="88"/>
      <c r="V292" s="88"/>
      <c r="W292" s="88"/>
      <c r="X292" s="88"/>
      <c r="Y292" s="88"/>
      <c r="Z292" s="88"/>
      <c r="AA292" s="88"/>
      <c r="AB292" s="88"/>
      <c r="AC292" s="88"/>
      <c r="AD292" s="88"/>
      <c r="AE292" s="88"/>
    </row>
    <row r="293" spans="12:31" ht="15.75" customHeight="1" x14ac:dyDescent="0.3">
      <c r="L293" s="88"/>
      <c r="M293" s="88"/>
      <c r="N293" s="88"/>
      <c r="O293" s="88"/>
      <c r="P293" s="88"/>
      <c r="Q293" s="88"/>
      <c r="R293" s="88"/>
      <c r="S293" s="88"/>
      <c r="T293" s="88"/>
      <c r="U293" s="88"/>
      <c r="V293" s="88"/>
      <c r="W293" s="88"/>
      <c r="X293" s="88"/>
      <c r="Y293" s="88"/>
      <c r="Z293" s="88"/>
      <c r="AA293" s="88"/>
      <c r="AB293" s="88"/>
      <c r="AC293" s="88"/>
      <c r="AD293" s="88"/>
      <c r="AE293" s="88"/>
    </row>
    <row r="294" spans="12:31" ht="15.75" customHeight="1" x14ac:dyDescent="0.3">
      <c r="L294" s="88"/>
      <c r="M294" s="88"/>
      <c r="N294" s="88"/>
      <c r="O294" s="88"/>
      <c r="P294" s="88"/>
      <c r="Q294" s="88"/>
      <c r="R294" s="88"/>
      <c r="S294" s="88"/>
      <c r="T294" s="88"/>
      <c r="U294" s="88"/>
      <c r="V294" s="88"/>
      <c r="W294" s="88"/>
      <c r="X294" s="88"/>
      <c r="Y294" s="88"/>
      <c r="Z294" s="88"/>
      <c r="AA294" s="88"/>
      <c r="AB294" s="88"/>
      <c r="AC294" s="88"/>
      <c r="AD294" s="88"/>
      <c r="AE294" s="88"/>
    </row>
    <row r="295" spans="12:31" ht="15.75" customHeight="1" x14ac:dyDescent="0.3">
      <c r="L295" s="88"/>
      <c r="M295" s="88"/>
      <c r="N295" s="88"/>
      <c r="O295" s="88"/>
      <c r="P295" s="88"/>
      <c r="Q295" s="88"/>
      <c r="R295" s="88"/>
      <c r="S295" s="88"/>
      <c r="T295" s="88"/>
      <c r="U295" s="88"/>
      <c r="V295" s="88"/>
      <c r="W295" s="88"/>
      <c r="X295" s="88"/>
      <c r="Y295" s="88"/>
      <c r="Z295" s="88"/>
      <c r="AA295" s="88"/>
      <c r="AB295" s="88"/>
      <c r="AC295" s="88"/>
      <c r="AD295" s="88"/>
      <c r="AE295" s="88"/>
    </row>
    <row r="296" spans="12:31" ht="15.75" customHeight="1" x14ac:dyDescent="0.3">
      <c r="L296" s="88"/>
      <c r="M296" s="88"/>
      <c r="N296" s="88"/>
      <c r="O296" s="88"/>
      <c r="P296" s="88"/>
      <c r="Q296" s="88"/>
      <c r="R296" s="88"/>
      <c r="S296" s="88"/>
      <c r="T296" s="88"/>
      <c r="U296" s="88"/>
      <c r="V296" s="88"/>
      <c r="W296" s="88"/>
      <c r="X296" s="88"/>
      <c r="Y296" s="88"/>
      <c r="Z296" s="88"/>
      <c r="AA296" s="88"/>
      <c r="AB296" s="88"/>
      <c r="AC296" s="88"/>
      <c r="AD296" s="88"/>
      <c r="AE296" s="88"/>
    </row>
    <row r="297" spans="12:31" ht="15.75" customHeight="1" x14ac:dyDescent="0.3">
      <c r="L297" s="88"/>
      <c r="M297" s="88"/>
      <c r="N297" s="88"/>
      <c r="O297" s="88"/>
      <c r="P297" s="88"/>
      <c r="Q297" s="88"/>
      <c r="R297" s="88"/>
      <c r="S297" s="88"/>
      <c r="T297" s="88"/>
      <c r="U297" s="88"/>
      <c r="V297" s="88"/>
      <c r="W297" s="88"/>
      <c r="X297" s="88"/>
      <c r="Y297" s="88"/>
      <c r="Z297" s="88"/>
      <c r="AA297" s="88"/>
      <c r="AB297" s="88"/>
      <c r="AC297" s="88"/>
      <c r="AD297" s="88"/>
      <c r="AE297" s="88"/>
    </row>
    <row r="298" spans="12:31" ht="15.75" customHeight="1" x14ac:dyDescent="0.3">
      <c r="L298" s="88"/>
      <c r="M298" s="88"/>
      <c r="N298" s="88"/>
      <c r="O298" s="88"/>
      <c r="P298" s="88"/>
      <c r="Q298" s="88"/>
      <c r="R298" s="88"/>
      <c r="S298" s="88"/>
      <c r="T298" s="88"/>
      <c r="U298" s="88"/>
      <c r="V298" s="88"/>
      <c r="W298" s="88"/>
      <c r="X298" s="88"/>
      <c r="Y298" s="88"/>
      <c r="Z298" s="88"/>
      <c r="AA298" s="88"/>
      <c r="AB298" s="88"/>
      <c r="AC298" s="88"/>
      <c r="AD298" s="88"/>
      <c r="AE298" s="88"/>
    </row>
    <row r="299" spans="12:31" ht="15.75" customHeight="1" x14ac:dyDescent="0.3">
      <c r="L299" s="88"/>
      <c r="M299" s="88"/>
      <c r="N299" s="88"/>
      <c r="O299" s="88"/>
      <c r="P299" s="88"/>
      <c r="Q299" s="88"/>
      <c r="R299" s="88"/>
      <c r="S299" s="88"/>
      <c r="T299" s="88"/>
      <c r="U299" s="88"/>
      <c r="V299" s="88"/>
      <c r="W299" s="88"/>
      <c r="X299" s="88"/>
      <c r="Y299" s="88"/>
      <c r="Z299" s="88"/>
      <c r="AA299" s="88"/>
      <c r="AB299" s="88"/>
      <c r="AC299" s="88"/>
      <c r="AD299" s="88"/>
      <c r="AE299" s="88"/>
    </row>
    <row r="300" spans="12:31" ht="15.75" customHeight="1" x14ac:dyDescent="0.3">
      <c r="L300" s="88"/>
      <c r="M300" s="88"/>
      <c r="N300" s="88"/>
      <c r="O300" s="88"/>
      <c r="P300" s="88"/>
      <c r="Q300" s="88"/>
      <c r="R300" s="88"/>
      <c r="S300" s="88"/>
      <c r="T300" s="88"/>
      <c r="U300" s="88"/>
      <c r="V300" s="88"/>
      <c r="W300" s="88"/>
      <c r="X300" s="88"/>
      <c r="Y300" s="88"/>
      <c r="Z300" s="88"/>
      <c r="AA300" s="88"/>
      <c r="AB300" s="88"/>
      <c r="AC300" s="88"/>
      <c r="AD300" s="88"/>
      <c r="AE300" s="88"/>
    </row>
    <row r="301" spans="12:31" ht="15.75" customHeight="1" x14ac:dyDescent="0.3">
      <c r="L301" s="88"/>
      <c r="M301" s="88"/>
      <c r="N301" s="88"/>
      <c r="O301" s="88"/>
      <c r="P301" s="88"/>
      <c r="Q301" s="88"/>
      <c r="R301" s="88"/>
      <c r="S301" s="88"/>
      <c r="T301" s="88"/>
      <c r="U301" s="88"/>
      <c r="V301" s="88"/>
      <c r="W301" s="88"/>
      <c r="X301" s="88"/>
      <c r="Y301" s="88"/>
      <c r="Z301" s="88"/>
      <c r="AA301" s="88"/>
      <c r="AB301" s="88"/>
      <c r="AC301" s="88"/>
      <c r="AD301" s="88"/>
      <c r="AE301" s="88"/>
    </row>
    <row r="302" spans="12:31" ht="15.75" customHeight="1" x14ac:dyDescent="0.3">
      <c r="L302" s="88"/>
      <c r="M302" s="88"/>
      <c r="N302" s="88"/>
      <c r="O302" s="88"/>
      <c r="P302" s="88"/>
      <c r="Q302" s="88"/>
      <c r="R302" s="88"/>
      <c r="S302" s="88"/>
      <c r="T302" s="88"/>
      <c r="U302" s="88"/>
      <c r="V302" s="88"/>
      <c r="W302" s="88"/>
      <c r="X302" s="88"/>
      <c r="Y302" s="88"/>
      <c r="Z302" s="88"/>
      <c r="AA302" s="88"/>
      <c r="AB302" s="88"/>
      <c r="AC302" s="88"/>
      <c r="AD302" s="88"/>
      <c r="AE302" s="88"/>
    </row>
    <row r="303" spans="12:31" ht="15.75" customHeight="1" x14ac:dyDescent="0.3">
      <c r="L303" s="88"/>
      <c r="M303" s="88"/>
      <c r="N303" s="88"/>
      <c r="O303" s="88"/>
      <c r="P303" s="88"/>
      <c r="Q303" s="88"/>
      <c r="R303" s="88"/>
      <c r="S303" s="88"/>
      <c r="T303" s="88"/>
      <c r="U303" s="88"/>
      <c r="V303" s="88"/>
      <c r="W303" s="88"/>
      <c r="X303" s="88"/>
      <c r="Y303" s="88"/>
      <c r="Z303" s="88"/>
      <c r="AA303" s="88"/>
      <c r="AB303" s="88"/>
      <c r="AC303" s="88"/>
      <c r="AD303" s="88"/>
      <c r="AE303" s="88"/>
    </row>
    <row r="304" spans="12:31" ht="15.75" customHeight="1" x14ac:dyDescent="0.3">
      <c r="L304" s="88"/>
      <c r="M304" s="88"/>
      <c r="N304" s="88"/>
      <c r="O304" s="88"/>
      <c r="P304" s="88"/>
      <c r="Q304" s="88"/>
      <c r="R304" s="88"/>
      <c r="S304" s="88"/>
      <c r="T304" s="88"/>
      <c r="U304" s="88"/>
      <c r="V304" s="88"/>
      <c r="W304" s="88"/>
      <c r="X304" s="88"/>
      <c r="Y304" s="88"/>
      <c r="Z304" s="88"/>
      <c r="AA304" s="88"/>
      <c r="AB304" s="88"/>
      <c r="AC304" s="88"/>
      <c r="AD304" s="88"/>
      <c r="AE304" s="88"/>
    </row>
    <row r="305" spans="12:31" ht="15.75" customHeight="1" x14ac:dyDescent="0.3">
      <c r="L305" s="88"/>
      <c r="M305" s="88"/>
      <c r="N305" s="88"/>
      <c r="O305" s="88"/>
      <c r="P305" s="88"/>
      <c r="Q305" s="88"/>
      <c r="R305" s="88"/>
      <c r="S305" s="88"/>
      <c r="T305" s="88"/>
      <c r="U305" s="88"/>
      <c r="V305" s="88"/>
      <c r="W305" s="88"/>
      <c r="X305" s="88"/>
      <c r="Y305" s="88"/>
      <c r="Z305" s="88"/>
      <c r="AA305" s="88"/>
      <c r="AB305" s="88"/>
      <c r="AC305" s="88"/>
      <c r="AD305" s="88"/>
      <c r="AE305" s="88"/>
    </row>
    <row r="306" spans="12:31" ht="15.75" customHeight="1" x14ac:dyDescent="0.3">
      <c r="L306" s="88"/>
      <c r="M306" s="88"/>
      <c r="N306" s="88"/>
      <c r="O306" s="88"/>
      <c r="P306" s="88"/>
      <c r="Q306" s="88"/>
      <c r="R306" s="88"/>
      <c r="S306" s="88"/>
      <c r="T306" s="88"/>
      <c r="U306" s="88"/>
      <c r="V306" s="88"/>
      <c r="W306" s="88"/>
      <c r="X306" s="88"/>
      <c r="Y306" s="88"/>
      <c r="Z306" s="88"/>
      <c r="AA306" s="88"/>
      <c r="AB306" s="88"/>
      <c r="AC306" s="88"/>
      <c r="AD306" s="88"/>
      <c r="AE306" s="88"/>
    </row>
    <row r="307" spans="12:31" ht="15.75" customHeight="1" x14ac:dyDescent="0.3">
      <c r="L307" s="88"/>
      <c r="M307" s="88"/>
      <c r="N307" s="88"/>
      <c r="O307" s="88"/>
      <c r="P307" s="88"/>
      <c r="Q307" s="88"/>
      <c r="R307" s="88"/>
      <c r="S307" s="88"/>
      <c r="T307" s="88"/>
      <c r="U307" s="88"/>
      <c r="V307" s="88"/>
      <c r="W307" s="88"/>
      <c r="X307" s="88"/>
      <c r="Y307" s="88"/>
      <c r="Z307" s="88"/>
      <c r="AA307" s="88"/>
      <c r="AB307" s="88"/>
      <c r="AC307" s="88"/>
      <c r="AD307" s="88"/>
      <c r="AE307" s="88"/>
    </row>
    <row r="308" spans="12:31" ht="15.75" customHeight="1" x14ac:dyDescent="0.3">
      <c r="L308" s="88"/>
      <c r="M308" s="88"/>
      <c r="N308" s="88"/>
      <c r="O308" s="88"/>
      <c r="P308" s="88"/>
      <c r="Q308" s="88"/>
      <c r="R308" s="88"/>
      <c r="S308" s="88"/>
      <c r="T308" s="88"/>
      <c r="U308" s="88"/>
      <c r="V308" s="88"/>
      <c r="W308" s="88"/>
      <c r="X308" s="88"/>
      <c r="Y308" s="88"/>
      <c r="Z308" s="88"/>
      <c r="AA308" s="88"/>
      <c r="AB308" s="88"/>
      <c r="AC308" s="88"/>
      <c r="AD308" s="88"/>
      <c r="AE308" s="88"/>
    </row>
    <row r="309" spans="12:31" ht="15.75" customHeight="1" x14ac:dyDescent="0.3">
      <c r="L309" s="88"/>
      <c r="M309" s="88"/>
      <c r="N309" s="88"/>
      <c r="O309" s="88"/>
      <c r="P309" s="88"/>
      <c r="Q309" s="88"/>
      <c r="R309" s="88"/>
      <c r="S309" s="88"/>
      <c r="T309" s="88"/>
      <c r="U309" s="88"/>
      <c r="V309" s="88"/>
      <c r="W309" s="88"/>
      <c r="X309" s="88"/>
      <c r="Y309" s="88"/>
      <c r="Z309" s="88"/>
      <c r="AA309" s="88"/>
      <c r="AB309" s="88"/>
      <c r="AC309" s="88"/>
      <c r="AD309" s="88"/>
      <c r="AE309" s="88"/>
    </row>
    <row r="310" spans="12:31" ht="15.75" customHeight="1" x14ac:dyDescent="0.3">
      <c r="L310" s="88"/>
      <c r="M310" s="88"/>
      <c r="N310" s="88"/>
      <c r="O310" s="88"/>
      <c r="P310" s="88"/>
      <c r="Q310" s="88"/>
      <c r="R310" s="88"/>
      <c r="S310" s="88"/>
      <c r="T310" s="88"/>
      <c r="U310" s="88"/>
      <c r="V310" s="88"/>
      <c r="W310" s="88"/>
      <c r="X310" s="88"/>
      <c r="Y310" s="88"/>
      <c r="Z310" s="88"/>
      <c r="AA310" s="88"/>
      <c r="AB310" s="88"/>
      <c r="AC310" s="88"/>
      <c r="AD310" s="88"/>
      <c r="AE310" s="88"/>
    </row>
    <row r="311" spans="12:31" ht="15.75" customHeight="1" x14ac:dyDescent="0.3">
      <c r="L311" s="88"/>
      <c r="M311" s="88"/>
      <c r="N311" s="88"/>
      <c r="O311" s="88"/>
      <c r="P311" s="88"/>
      <c r="Q311" s="88"/>
      <c r="R311" s="88"/>
      <c r="S311" s="88"/>
      <c r="T311" s="88"/>
      <c r="U311" s="88"/>
      <c r="V311" s="88"/>
      <c r="W311" s="88"/>
      <c r="X311" s="88"/>
      <c r="Y311" s="88"/>
      <c r="Z311" s="88"/>
      <c r="AA311" s="88"/>
      <c r="AB311" s="88"/>
      <c r="AC311" s="88"/>
      <c r="AD311" s="88"/>
      <c r="AE311" s="88"/>
    </row>
    <row r="312" spans="12:31" ht="15.75" customHeight="1" x14ac:dyDescent="0.3">
      <c r="L312" s="88"/>
      <c r="M312" s="88"/>
      <c r="N312" s="88"/>
      <c r="O312" s="88"/>
      <c r="P312" s="88"/>
      <c r="Q312" s="88"/>
      <c r="R312" s="88"/>
      <c r="S312" s="88"/>
      <c r="T312" s="88"/>
      <c r="U312" s="88"/>
      <c r="V312" s="88"/>
      <c r="W312" s="88"/>
      <c r="X312" s="88"/>
      <c r="Y312" s="88"/>
      <c r="Z312" s="88"/>
      <c r="AA312" s="88"/>
      <c r="AB312" s="88"/>
      <c r="AC312" s="88"/>
      <c r="AD312" s="88"/>
      <c r="AE312" s="88"/>
    </row>
    <row r="313" spans="12:31" ht="15.75" customHeight="1" x14ac:dyDescent="0.3">
      <c r="L313" s="88"/>
      <c r="M313" s="88"/>
      <c r="N313" s="88"/>
      <c r="O313" s="88"/>
      <c r="P313" s="88"/>
      <c r="Q313" s="88"/>
      <c r="R313" s="88"/>
      <c r="S313" s="88"/>
      <c r="T313" s="88"/>
      <c r="U313" s="88"/>
      <c r="V313" s="88"/>
      <c r="W313" s="88"/>
      <c r="X313" s="88"/>
      <c r="Y313" s="88"/>
      <c r="Z313" s="88"/>
      <c r="AA313" s="88"/>
      <c r="AB313" s="88"/>
      <c r="AC313" s="88"/>
      <c r="AD313" s="88"/>
      <c r="AE313" s="88"/>
    </row>
    <row r="314" spans="12:31" ht="15.75" customHeight="1" x14ac:dyDescent="0.3">
      <c r="L314" s="88"/>
      <c r="M314" s="88"/>
      <c r="N314" s="88"/>
      <c r="O314" s="88"/>
      <c r="P314" s="88"/>
      <c r="Q314" s="88"/>
      <c r="R314" s="88"/>
      <c r="S314" s="88"/>
      <c r="T314" s="88"/>
      <c r="U314" s="88"/>
      <c r="V314" s="88"/>
      <c r="W314" s="88"/>
      <c r="X314" s="88"/>
      <c r="Y314" s="88"/>
      <c r="Z314" s="88"/>
      <c r="AA314" s="88"/>
      <c r="AB314" s="88"/>
      <c r="AC314" s="88"/>
      <c r="AD314" s="88"/>
      <c r="AE314" s="88"/>
    </row>
    <row r="315" spans="12:31" ht="15.75" customHeight="1" x14ac:dyDescent="0.3">
      <c r="L315" s="88"/>
      <c r="M315" s="88"/>
      <c r="N315" s="88"/>
      <c r="O315" s="88"/>
      <c r="P315" s="88"/>
      <c r="Q315" s="88"/>
      <c r="R315" s="88"/>
      <c r="S315" s="88"/>
      <c r="T315" s="88"/>
      <c r="U315" s="88"/>
      <c r="V315" s="88"/>
      <c r="W315" s="88"/>
      <c r="X315" s="88"/>
      <c r="Y315" s="88"/>
      <c r="Z315" s="88"/>
      <c r="AA315" s="88"/>
      <c r="AB315" s="88"/>
      <c r="AC315" s="88"/>
      <c r="AD315" s="88"/>
      <c r="AE315" s="88"/>
    </row>
    <row r="316" spans="12:31" ht="15.75" customHeight="1" x14ac:dyDescent="0.3">
      <c r="L316" s="88"/>
      <c r="M316" s="88"/>
      <c r="N316" s="88"/>
      <c r="O316" s="88"/>
      <c r="P316" s="88"/>
      <c r="Q316" s="88"/>
      <c r="R316" s="88"/>
      <c r="S316" s="88"/>
      <c r="T316" s="88"/>
      <c r="U316" s="88"/>
      <c r="V316" s="88"/>
      <c r="W316" s="88"/>
      <c r="X316" s="88"/>
      <c r="Y316" s="88"/>
      <c r="Z316" s="88"/>
      <c r="AA316" s="88"/>
      <c r="AB316" s="88"/>
      <c r="AC316" s="88"/>
      <c r="AD316" s="88"/>
      <c r="AE316" s="88"/>
    </row>
    <row r="317" spans="12:31" ht="15.75" customHeight="1" x14ac:dyDescent="0.3">
      <c r="L317" s="88"/>
      <c r="M317" s="88"/>
      <c r="N317" s="88"/>
      <c r="O317" s="88"/>
      <c r="P317" s="88"/>
      <c r="Q317" s="88"/>
      <c r="R317" s="88"/>
      <c r="S317" s="88"/>
      <c r="T317" s="88"/>
      <c r="U317" s="88"/>
      <c r="V317" s="88"/>
      <c r="W317" s="88"/>
      <c r="X317" s="88"/>
      <c r="Y317" s="88"/>
      <c r="Z317" s="88"/>
      <c r="AA317" s="88"/>
      <c r="AB317" s="88"/>
      <c r="AC317" s="88"/>
      <c r="AD317" s="88"/>
      <c r="AE317" s="88"/>
    </row>
    <row r="318" spans="12:31" ht="15.75" customHeight="1" x14ac:dyDescent="0.3">
      <c r="L318" s="88"/>
      <c r="M318" s="88"/>
      <c r="N318" s="88"/>
      <c r="O318" s="88"/>
      <c r="P318" s="88"/>
      <c r="Q318" s="88"/>
      <c r="R318" s="88"/>
      <c r="S318" s="88"/>
      <c r="T318" s="88"/>
      <c r="U318" s="88"/>
      <c r="V318" s="88"/>
      <c r="W318" s="88"/>
      <c r="X318" s="88"/>
      <c r="Y318" s="88"/>
      <c r="Z318" s="88"/>
      <c r="AA318" s="88"/>
      <c r="AB318" s="88"/>
      <c r="AC318" s="88"/>
      <c r="AD318" s="88"/>
      <c r="AE318" s="88"/>
    </row>
    <row r="319" spans="12:31" ht="15.75" customHeight="1" x14ac:dyDescent="0.3">
      <c r="L319" s="88"/>
      <c r="M319" s="88"/>
      <c r="N319" s="88"/>
      <c r="O319" s="88"/>
      <c r="P319" s="88"/>
      <c r="Q319" s="88"/>
      <c r="R319" s="88"/>
      <c r="S319" s="88"/>
      <c r="T319" s="88"/>
      <c r="U319" s="88"/>
      <c r="V319" s="88"/>
      <c r="W319" s="88"/>
      <c r="X319" s="88"/>
      <c r="Y319" s="88"/>
      <c r="Z319" s="88"/>
      <c r="AA319" s="88"/>
      <c r="AB319" s="88"/>
      <c r="AC319" s="88"/>
      <c r="AD319" s="88"/>
      <c r="AE319" s="88"/>
    </row>
    <row r="320" spans="12:31" ht="15.75" customHeight="1" x14ac:dyDescent="0.3">
      <c r="L320" s="88"/>
      <c r="M320" s="88"/>
      <c r="N320" s="88"/>
      <c r="O320" s="88"/>
      <c r="P320" s="88"/>
      <c r="Q320" s="88"/>
      <c r="R320" s="88"/>
      <c r="S320" s="88"/>
      <c r="T320" s="88"/>
      <c r="U320" s="88"/>
      <c r="V320" s="88"/>
      <c r="W320" s="88"/>
      <c r="X320" s="88"/>
      <c r="Y320" s="88"/>
      <c r="Z320" s="88"/>
      <c r="AA320" s="88"/>
      <c r="AB320" s="88"/>
      <c r="AC320" s="88"/>
      <c r="AD320" s="88"/>
      <c r="AE320" s="88"/>
    </row>
    <row r="321" spans="12:31" ht="15.75" customHeight="1" x14ac:dyDescent="0.3">
      <c r="L321" s="88"/>
      <c r="M321" s="88"/>
      <c r="N321" s="88"/>
      <c r="O321" s="88"/>
      <c r="P321" s="88"/>
      <c r="Q321" s="88"/>
      <c r="R321" s="88"/>
      <c r="S321" s="88"/>
      <c r="T321" s="88"/>
      <c r="U321" s="88"/>
      <c r="V321" s="88"/>
      <c r="W321" s="88"/>
      <c r="X321" s="88"/>
      <c r="Y321" s="88"/>
      <c r="Z321" s="88"/>
      <c r="AA321" s="88"/>
      <c r="AB321" s="88"/>
      <c r="AC321" s="88"/>
      <c r="AD321" s="88"/>
      <c r="AE321" s="88"/>
    </row>
    <row r="322" spans="12:31" ht="15.75" customHeight="1" x14ac:dyDescent="0.3">
      <c r="L322" s="88"/>
      <c r="M322" s="88"/>
      <c r="N322" s="88"/>
      <c r="O322" s="88"/>
      <c r="P322" s="88"/>
      <c r="Q322" s="88"/>
      <c r="R322" s="88"/>
      <c r="S322" s="88"/>
      <c r="T322" s="88"/>
      <c r="U322" s="88"/>
      <c r="V322" s="88"/>
      <c r="W322" s="88"/>
      <c r="X322" s="88"/>
      <c r="Y322" s="88"/>
      <c r="Z322" s="88"/>
      <c r="AA322" s="88"/>
      <c r="AB322" s="88"/>
      <c r="AC322" s="88"/>
      <c r="AD322" s="88"/>
      <c r="AE322" s="88"/>
    </row>
    <row r="323" spans="12:31" ht="15.75" customHeight="1" x14ac:dyDescent="0.3">
      <c r="L323" s="88"/>
      <c r="M323" s="88"/>
      <c r="N323" s="88"/>
      <c r="O323" s="88"/>
      <c r="P323" s="88"/>
      <c r="Q323" s="88"/>
      <c r="R323" s="88"/>
      <c r="S323" s="88"/>
      <c r="T323" s="88"/>
      <c r="U323" s="88"/>
      <c r="V323" s="88"/>
      <c r="W323" s="88"/>
      <c r="X323" s="88"/>
      <c r="Y323" s="88"/>
      <c r="Z323" s="88"/>
      <c r="AA323" s="88"/>
      <c r="AB323" s="88"/>
      <c r="AC323" s="88"/>
      <c r="AD323" s="88"/>
      <c r="AE323" s="88"/>
    </row>
    <row r="324" spans="12:31" ht="15.75" customHeight="1" x14ac:dyDescent="0.3">
      <c r="L324" s="88"/>
      <c r="M324" s="88"/>
      <c r="N324" s="88"/>
      <c r="O324" s="88"/>
      <c r="P324" s="88"/>
      <c r="Q324" s="88"/>
      <c r="R324" s="88"/>
      <c r="S324" s="88"/>
      <c r="T324" s="88"/>
      <c r="U324" s="88"/>
      <c r="V324" s="88"/>
      <c r="W324" s="88"/>
      <c r="X324" s="88"/>
      <c r="Y324" s="88"/>
      <c r="Z324" s="88"/>
      <c r="AA324" s="88"/>
      <c r="AB324" s="88"/>
      <c r="AC324" s="88"/>
      <c r="AD324" s="88"/>
      <c r="AE324" s="88"/>
    </row>
    <row r="325" spans="12:31" ht="15.75" customHeight="1" x14ac:dyDescent="0.3">
      <c r="L325" s="88"/>
      <c r="M325" s="88"/>
      <c r="N325" s="88"/>
      <c r="O325" s="88"/>
      <c r="P325" s="88"/>
      <c r="Q325" s="88"/>
      <c r="R325" s="88"/>
      <c r="S325" s="88"/>
      <c r="T325" s="88"/>
      <c r="U325" s="88"/>
      <c r="V325" s="88"/>
      <c r="W325" s="88"/>
      <c r="X325" s="88"/>
      <c r="Y325" s="88"/>
      <c r="Z325" s="88"/>
      <c r="AA325" s="88"/>
      <c r="AB325" s="88"/>
      <c r="AC325" s="88"/>
      <c r="AD325" s="88"/>
      <c r="AE325" s="88"/>
    </row>
    <row r="326" spans="12:31" ht="15.75" customHeight="1" x14ac:dyDescent="0.3">
      <c r="L326" s="88"/>
      <c r="M326" s="88"/>
      <c r="N326" s="88"/>
      <c r="O326" s="88"/>
      <c r="P326" s="88"/>
      <c r="Q326" s="88"/>
      <c r="R326" s="88"/>
      <c r="S326" s="88"/>
      <c r="T326" s="88"/>
      <c r="U326" s="88"/>
      <c r="V326" s="88"/>
      <c r="W326" s="88"/>
      <c r="X326" s="88"/>
      <c r="Y326" s="88"/>
      <c r="Z326" s="88"/>
      <c r="AA326" s="88"/>
      <c r="AB326" s="88"/>
      <c r="AC326" s="88"/>
      <c r="AD326" s="88"/>
      <c r="AE326" s="88"/>
    </row>
    <row r="327" spans="12:31" ht="15.75" customHeight="1" x14ac:dyDescent="0.3">
      <c r="L327" s="88"/>
      <c r="M327" s="88"/>
      <c r="N327" s="88"/>
      <c r="O327" s="88"/>
      <c r="P327" s="88"/>
      <c r="Q327" s="88"/>
      <c r="R327" s="88"/>
      <c r="S327" s="88"/>
      <c r="T327" s="88"/>
      <c r="U327" s="88"/>
      <c r="V327" s="88"/>
      <c r="W327" s="88"/>
      <c r="X327" s="88"/>
      <c r="Y327" s="88"/>
      <c r="Z327" s="88"/>
      <c r="AA327" s="88"/>
      <c r="AB327" s="88"/>
      <c r="AC327" s="88"/>
      <c r="AD327" s="88"/>
      <c r="AE327" s="88"/>
    </row>
    <row r="328" spans="12:31" ht="15.75" customHeight="1" x14ac:dyDescent="0.3">
      <c r="L328" s="88"/>
      <c r="M328" s="88"/>
      <c r="N328" s="88"/>
      <c r="O328" s="88"/>
      <c r="P328" s="88"/>
      <c r="Q328" s="88"/>
      <c r="R328" s="88"/>
      <c r="S328" s="88"/>
      <c r="T328" s="88"/>
      <c r="U328" s="88"/>
      <c r="V328" s="88"/>
      <c r="W328" s="88"/>
      <c r="X328" s="88"/>
      <c r="Y328" s="88"/>
      <c r="Z328" s="88"/>
      <c r="AA328" s="88"/>
      <c r="AB328" s="88"/>
      <c r="AC328" s="88"/>
      <c r="AD328" s="88"/>
      <c r="AE328" s="88"/>
    </row>
    <row r="329" spans="12:31" ht="15.75" customHeight="1" x14ac:dyDescent="0.3">
      <c r="L329" s="88"/>
      <c r="M329" s="88"/>
      <c r="N329" s="88"/>
      <c r="O329" s="88"/>
      <c r="P329" s="88"/>
      <c r="Q329" s="88"/>
      <c r="R329" s="88"/>
      <c r="S329" s="88"/>
      <c r="T329" s="88"/>
      <c r="U329" s="88"/>
      <c r="V329" s="88"/>
      <c r="W329" s="88"/>
      <c r="X329" s="88"/>
      <c r="Y329" s="88"/>
      <c r="Z329" s="88"/>
      <c r="AA329" s="88"/>
      <c r="AB329" s="88"/>
      <c r="AC329" s="88"/>
      <c r="AD329" s="88"/>
      <c r="AE329" s="88"/>
    </row>
    <row r="330" spans="12:31" ht="15.75" customHeight="1" x14ac:dyDescent="0.3">
      <c r="L330" s="88"/>
      <c r="M330" s="88"/>
      <c r="N330" s="88"/>
      <c r="O330" s="88"/>
      <c r="P330" s="88"/>
      <c r="Q330" s="88"/>
      <c r="R330" s="88"/>
      <c r="S330" s="88"/>
      <c r="T330" s="88"/>
      <c r="U330" s="88"/>
      <c r="V330" s="88"/>
      <c r="W330" s="88"/>
      <c r="X330" s="88"/>
      <c r="Y330" s="88"/>
      <c r="Z330" s="88"/>
      <c r="AA330" s="88"/>
      <c r="AB330" s="88"/>
      <c r="AC330" s="88"/>
      <c r="AD330" s="88"/>
      <c r="AE330" s="88"/>
    </row>
    <row r="331" spans="12:31" ht="15.75" customHeight="1" x14ac:dyDescent="0.3">
      <c r="L331" s="88"/>
      <c r="M331" s="88"/>
      <c r="N331" s="88"/>
      <c r="O331" s="88"/>
      <c r="P331" s="88"/>
      <c r="Q331" s="88"/>
      <c r="R331" s="88"/>
      <c r="S331" s="88"/>
      <c r="T331" s="88"/>
      <c r="U331" s="88"/>
      <c r="V331" s="88"/>
      <c r="W331" s="88"/>
      <c r="X331" s="88"/>
      <c r="Y331" s="88"/>
      <c r="Z331" s="88"/>
      <c r="AA331" s="88"/>
      <c r="AB331" s="88"/>
      <c r="AC331" s="88"/>
      <c r="AD331" s="88"/>
      <c r="AE331" s="88"/>
    </row>
    <row r="332" spans="12:31" ht="15.75" customHeight="1" x14ac:dyDescent="0.3">
      <c r="L332" s="88"/>
      <c r="M332" s="88"/>
      <c r="N332" s="88"/>
      <c r="O332" s="88"/>
      <c r="P332" s="88"/>
      <c r="Q332" s="88"/>
      <c r="R332" s="88"/>
      <c r="S332" s="88"/>
      <c r="T332" s="88"/>
      <c r="U332" s="88"/>
      <c r="V332" s="88"/>
      <c r="W332" s="88"/>
      <c r="X332" s="88"/>
      <c r="Y332" s="88"/>
      <c r="Z332" s="88"/>
      <c r="AA332" s="88"/>
      <c r="AB332" s="88"/>
      <c r="AC332" s="88"/>
      <c r="AD332" s="88"/>
      <c r="AE332" s="88"/>
    </row>
    <row r="333" spans="12:31" ht="15.75" customHeight="1" x14ac:dyDescent="0.3">
      <c r="L333" s="88"/>
      <c r="M333" s="88"/>
      <c r="N333" s="88"/>
      <c r="O333" s="88"/>
      <c r="P333" s="88"/>
      <c r="Q333" s="88"/>
      <c r="R333" s="88"/>
      <c r="S333" s="88"/>
      <c r="T333" s="88"/>
      <c r="U333" s="88"/>
      <c r="V333" s="88"/>
      <c r="W333" s="88"/>
      <c r="X333" s="88"/>
      <c r="Y333" s="88"/>
      <c r="Z333" s="88"/>
      <c r="AA333" s="88"/>
      <c r="AB333" s="88"/>
      <c r="AC333" s="88"/>
      <c r="AD333" s="88"/>
      <c r="AE333" s="88"/>
    </row>
    <row r="334" spans="12:31" ht="15.75" customHeight="1" x14ac:dyDescent="0.3">
      <c r="L334" s="88"/>
      <c r="M334" s="88"/>
      <c r="N334" s="88"/>
      <c r="O334" s="88"/>
      <c r="P334" s="88"/>
      <c r="Q334" s="88"/>
      <c r="R334" s="88"/>
      <c r="S334" s="88"/>
      <c r="T334" s="88"/>
      <c r="U334" s="88"/>
      <c r="V334" s="88"/>
      <c r="W334" s="88"/>
      <c r="X334" s="88"/>
      <c r="Y334" s="88"/>
      <c r="Z334" s="88"/>
      <c r="AA334" s="88"/>
      <c r="AB334" s="88"/>
      <c r="AC334" s="88"/>
      <c r="AD334" s="88"/>
      <c r="AE334" s="88"/>
    </row>
    <row r="335" spans="12:31" ht="15.75" customHeight="1" x14ac:dyDescent="0.3">
      <c r="L335" s="88"/>
      <c r="M335" s="88"/>
      <c r="N335" s="88"/>
      <c r="O335" s="88"/>
      <c r="P335" s="88"/>
      <c r="Q335" s="88"/>
      <c r="R335" s="88"/>
      <c r="S335" s="88"/>
      <c r="T335" s="88"/>
      <c r="U335" s="88"/>
      <c r="V335" s="88"/>
      <c r="W335" s="88"/>
      <c r="X335" s="88"/>
      <c r="Y335" s="88"/>
      <c r="Z335" s="88"/>
      <c r="AA335" s="88"/>
      <c r="AB335" s="88"/>
      <c r="AC335" s="88"/>
      <c r="AD335" s="88"/>
      <c r="AE335" s="88"/>
    </row>
    <row r="336" spans="12:31" ht="15.75" customHeight="1" x14ac:dyDescent="0.3">
      <c r="L336" s="88"/>
      <c r="M336" s="88"/>
      <c r="N336" s="88"/>
      <c r="O336" s="88"/>
      <c r="P336" s="88"/>
      <c r="Q336" s="88"/>
      <c r="R336" s="88"/>
      <c r="S336" s="88"/>
      <c r="T336" s="88"/>
      <c r="U336" s="88"/>
      <c r="V336" s="88"/>
      <c r="W336" s="88"/>
      <c r="X336" s="88"/>
      <c r="Y336" s="88"/>
      <c r="Z336" s="88"/>
      <c r="AA336" s="88"/>
      <c r="AB336" s="88"/>
      <c r="AC336" s="88"/>
      <c r="AD336" s="88"/>
      <c r="AE336" s="88"/>
    </row>
    <row r="337" spans="12:31" ht="15.75" customHeight="1" x14ac:dyDescent="0.3">
      <c r="L337" s="88"/>
      <c r="M337" s="88"/>
      <c r="N337" s="88"/>
      <c r="O337" s="88"/>
      <c r="P337" s="88"/>
      <c r="Q337" s="88"/>
      <c r="R337" s="88"/>
      <c r="S337" s="88"/>
      <c r="T337" s="88"/>
      <c r="U337" s="88"/>
      <c r="V337" s="88"/>
      <c r="W337" s="88"/>
      <c r="X337" s="88"/>
      <c r="Y337" s="88"/>
      <c r="Z337" s="88"/>
      <c r="AA337" s="88"/>
      <c r="AB337" s="88"/>
      <c r="AC337" s="88"/>
      <c r="AD337" s="88"/>
      <c r="AE337" s="88"/>
    </row>
    <row r="338" spans="12:31" ht="15.75" customHeight="1" x14ac:dyDescent="0.3">
      <c r="L338" s="88"/>
      <c r="M338" s="88"/>
      <c r="N338" s="88"/>
      <c r="O338" s="88"/>
      <c r="P338" s="88"/>
      <c r="Q338" s="88"/>
      <c r="R338" s="88"/>
      <c r="S338" s="88"/>
      <c r="T338" s="88"/>
      <c r="U338" s="88"/>
      <c r="V338" s="88"/>
      <c r="W338" s="88"/>
      <c r="X338" s="88"/>
      <c r="Y338" s="88"/>
      <c r="Z338" s="88"/>
      <c r="AA338" s="88"/>
      <c r="AB338" s="88"/>
      <c r="AC338" s="88"/>
      <c r="AD338" s="88"/>
      <c r="AE338" s="88"/>
    </row>
    <row r="339" spans="12:31" ht="15.75" customHeight="1" x14ac:dyDescent="0.3">
      <c r="L339" s="88"/>
      <c r="M339" s="88"/>
      <c r="N339" s="88"/>
      <c r="O339" s="88"/>
      <c r="P339" s="88"/>
      <c r="Q339" s="88"/>
      <c r="R339" s="88"/>
      <c r="S339" s="88"/>
      <c r="T339" s="88"/>
      <c r="U339" s="88"/>
      <c r="V339" s="88"/>
      <c r="W339" s="88"/>
      <c r="X339" s="88"/>
      <c r="Y339" s="88"/>
      <c r="Z339" s="88"/>
      <c r="AA339" s="88"/>
      <c r="AB339" s="88"/>
      <c r="AC339" s="88"/>
      <c r="AD339" s="88"/>
      <c r="AE339" s="88"/>
    </row>
    <row r="340" spans="12:31" ht="15.75" customHeight="1" x14ac:dyDescent="0.3">
      <c r="L340" s="88"/>
      <c r="M340" s="88"/>
      <c r="N340" s="88"/>
      <c r="O340" s="88"/>
      <c r="P340" s="88"/>
      <c r="Q340" s="88"/>
      <c r="R340" s="88"/>
      <c r="S340" s="88"/>
      <c r="T340" s="88"/>
      <c r="U340" s="88"/>
      <c r="V340" s="88"/>
      <c r="W340" s="88"/>
      <c r="X340" s="88"/>
      <c r="Y340" s="88"/>
      <c r="Z340" s="88"/>
      <c r="AA340" s="88"/>
      <c r="AB340" s="88"/>
      <c r="AC340" s="88"/>
      <c r="AD340" s="88"/>
      <c r="AE340" s="88"/>
    </row>
    <row r="341" spans="12:31" ht="15.75" customHeight="1" x14ac:dyDescent="0.3">
      <c r="L341" s="88"/>
      <c r="M341" s="88"/>
      <c r="N341" s="88"/>
      <c r="O341" s="88"/>
      <c r="P341" s="88"/>
      <c r="Q341" s="88"/>
      <c r="R341" s="88"/>
      <c r="S341" s="88"/>
      <c r="T341" s="88"/>
      <c r="U341" s="88"/>
      <c r="V341" s="88"/>
      <c r="W341" s="88"/>
      <c r="X341" s="88"/>
      <c r="Y341" s="88"/>
      <c r="Z341" s="88"/>
      <c r="AA341" s="88"/>
      <c r="AB341" s="88"/>
      <c r="AC341" s="88"/>
      <c r="AD341" s="88"/>
      <c r="AE341" s="88"/>
    </row>
    <row r="342" spans="12:31" ht="15.75" customHeight="1" x14ac:dyDescent="0.3">
      <c r="L342" s="88"/>
      <c r="M342" s="88"/>
      <c r="N342" s="88"/>
      <c r="O342" s="88"/>
      <c r="P342" s="88"/>
      <c r="Q342" s="88"/>
      <c r="R342" s="88"/>
      <c r="S342" s="88"/>
      <c r="T342" s="88"/>
      <c r="U342" s="88"/>
      <c r="V342" s="88"/>
      <c r="W342" s="88"/>
      <c r="X342" s="88"/>
      <c r="Y342" s="88"/>
      <c r="Z342" s="88"/>
      <c r="AA342" s="88"/>
      <c r="AB342" s="88"/>
      <c r="AC342" s="88"/>
      <c r="AD342" s="88"/>
      <c r="AE342" s="88"/>
    </row>
    <row r="343" spans="12:31" ht="15.75" customHeight="1" x14ac:dyDescent="0.3">
      <c r="L343" s="88"/>
      <c r="M343" s="88"/>
      <c r="N343" s="88"/>
      <c r="O343" s="88"/>
      <c r="P343" s="88"/>
      <c r="Q343" s="88"/>
      <c r="R343" s="88"/>
      <c r="S343" s="88"/>
      <c r="T343" s="88"/>
      <c r="U343" s="88"/>
      <c r="V343" s="88"/>
      <c r="W343" s="88"/>
      <c r="X343" s="88"/>
      <c r="Y343" s="88"/>
      <c r="Z343" s="88"/>
      <c r="AA343" s="88"/>
      <c r="AB343" s="88"/>
      <c r="AC343" s="88"/>
      <c r="AD343" s="88"/>
      <c r="AE343" s="88"/>
    </row>
    <row r="344" spans="12:31" ht="15.75" customHeight="1" x14ac:dyDescent="0.3">
      <c r="L344" s="88"/>
      <c r="M344" s="88"/>
      <c r="N344" s="88"/>
      <c r="O344" s="88"/>
      <c r="P344" s="88"/>
      <c r="Q344" s="88"/>
      <c r="R344" s="88"/>
      <c r="S344" s="88"/>
      <c r="T344" s="88"/>
      <c r="U344" s="88"/>
      <c r="V344" s="88"/>
      <c r="W344" s="88"/>
      <c r="X344" s="88"/>
      <c r="Y344" s="88"/>
      <c r="Z344" s="88"/>
      <c r="AA344" s="88"/>
      <c r="AB344" s="88"/>
      <c r="AC344" s="88"/>
      <c r="AD344" s="88"/>
      <c r="AE344" s="88"/>
    </row>
    <row r="345" spans="12:31" ht="15.75" customHeight="1" x14ac:dyDescent="0.3">
      <c r="L345" s="88"/>
      <c r="M345" s="88"/>
      <c r="N345" s="88"/>
      <c r="O345" s="88"/>
      <c r="P345" s="88"/>
      <c r="Q345" s="88"/>
      <c r="R345" s="88"/>
      <c r="S345" s="88"/>
      <c r="T345" s="88"/>
      <c r="U345" s="88"/>
      <c r="V345" s="88"/>
      <c r="W345" s="88"/>
      <c r="X345" s="88"/>
      <c r="Y345" s="88"/>
      <c r="Z345" s="88"/>
      <c r="AA345" s="88"/>
      <c r="AB345" s="88"/>
      <c r="AC345" s="88"/>
      <c r="AD345" s="88"/>
      <c r="AE345" s="88"/>
    </row>
    <row r="346" spans="12:31" ht="15.75" customHeight="1" x14ac:dyDescent="0.3">
      <c r="L346" s="88"/>
      <c r="M346" s="88"/>
      <c r="N346" s="88"/>
      <c r="O346" s="88"/>
      <c r="P346" s="88"/>
      <c r="Q346" s="88"/>
      <c r="R346" s="88"/>
      <c r="S346" s="88"/>
      <c r="T346" s="88"/>
      <c r="U346" s="88"/>
      <c r="V346" s="88"/>
      <c r="W346" s="88"/>
      <c r="X346" s="88"/>
      <c r="Y346" s="88"/>
      <c r="Z346" s="88"/>
      <c r="AA346" s="88"/>
      <c r="AB346" s="88"/>
      <c r="AC346" s="88"/>
      <c r="AD346" s="88"/>
      <c r="AE346" s="88"/>
    </row>
    <row r="347" spans="12:31" ht="15.75" customHeight="1" x14ac:dyDescent="0.3">
      <c r="L347" s="88"/>
      <c r="M347" s="88"/>
      <c r="N347" s="88"/>
      <c r="O347" s="88"/>
      <c r="P347" s="88"/>
      <c r="Q347" s="88"/>
      <c r="R347" s="88"/>
      <c r="S347" s="88"/>
      <c r="T347" s="88"/>
      <c r="U347" s="88"/>
      <c r="V347" s="88"/>
      <c r="W347" s="88"/>
      <c r="X347" s="88"/>
      <c r="Y347" s="88"/>
      <c r="Z347" s="88"/>
      <c r="AA347" s="88"/>
      <c r="AB347" s="88"/>
      <c r="AC347" s="88"/>
      <c r="AD347" s="88"/>
      <c r="AE347" s="88"/>
    </row>
    <row r="348" spans="12:31" ht="15.75" customHeight="1" x14ac:dyDescent="0.3">
      <c r="L348" s="88"/>
      <c r="M348" s="88"/>
      <c r="N348" s="88"/>
      <c r="O348" s="88"/>
      <c r="P348" s="88"/>
      <c r="Q348" s="88"/>
      <c r="R348" s="88"/>
      <c r="S348" s="88"/>
      <c r="T348" s="88"/>
      <c r="U348" s="88"/>
      <c r="V348" s="88"/>
      <c r="W348" s="88"/>
      <c r="X348" s="88"/>
      <c r="Y348" s="88"/>
      <c r="Z348" s="88"/>
      <c r="AA348" s="88"/>
      <c r="AB348" s="88"/>
      <c r="AC348" s="88"/>
      <c r="AD348" s="88"/>
      <c r="AE348" s="88"/>
    </row>
    <row r="349" spans="12:31" ht="15.75" customHeight="1" x14ac:dyDescent="0.3">
      <c r="L349" s="88"/>
      <c r="M349" s="88"/>
      <c r="N349" s="88"/>
      <c r="O349" s="88"/>
      <c r="P349" s="88"/>
      <c r="Q349" s="88"/>
      <c r="R349" s="88"/>
      <c r="S349" s="88"/>
      <c r="T349" s="88"/>
      <c r="U349" s="88"/>
      <c r="V349" s="88"/>
      <c r="W349" s="88"/>
      <c r="X349" s="88"/>
      <c r="Y349" s="88"/>
      <c r="Z349" s="88"/>
      <c r="AA349" s="88"/>
      <c r="AB349" s="88"/>
      <c r="AC349" s="88"/>
      <c r="AD349" s="88"/>
      <c r="AE349" s="88"/>
    </row>
    <row r="350" spans="12:31" ht="15.75" customHeight="1" x14ac:dyDescent="0.3">
      <c r="L350" s="88"/>
      <c r="M350" s="88"/>
      <c r="N350" s="88"/>
      <c r="O350" s="88"/>
      <c r="P350" s="88"/>
      <c r="Q350" s="88"/>
      <c r="R350" s="88"/>
      <c r="S350" s="88"/>
      <c r="T350" s="88"/>
      <c r="U350" s="88"/>
      <c r="V350" s="88"/>
      <c r="W350" s="88"/>
      <c r="X350" s="88"/>
      <c r="Y350" s="88"/>
      <c r="Z350" s="88"/>
      <c r="AA350" s="88"/>
      <c r="AB350" s="88"/>
      <c r="AC350" s="88"/>
      <c r="AD350" s="88"/>
      <c r="AE350" s="88"/>
    </row>
    <row r="351" spans="12:31" ht="15.75" customHeight="1" x14ac:dyDescent="0.3">
      <c r="L351" s="88"/>
      <c r="M351" s="88"/>
      <c r="N351" s="88"/>
      <c r="O351" s="88"/>
      <c r="P351" s="88"/>
      <c r="Q351" s="88"/>
      <c r="R351" s="88"/>
      <c r="S351" s="88"/>
      <c r="T351" s="88"/>
      <c r="U351" s="88"/>
      <c r="V351" s="88"/>
      <c r="W351" s="88"/>
      <c r="X351" s="88"/>
      <c r="Y351" s="88"/>
      <c r="Z351" s="88"/>
      <c r="AA351" s="88"/>
      <c r="AB351" s="88"/>
      <c r="AC351" s="88"/>
      <c r="AD351" s="88"/>
      <c r="AE351" s="88"/>
    </row>
    <row r="352" spans="12:31" ht="15.75" customHeight="1" x14ac:dyDescent="0.3">
      <c r="L352" s="88"/>
      <c r="M352" s="88"/>
      <c r="N352" s="88"/>
      <c r="O352" s="88"/>
      <c r="P352" s="88"/>
      <c r="Q352" s="88"/>
      <c r="R352" s="88"/>
      <c r="S352" s="88"/>
      <c r="T352" s="88"/>
      <c r="U352" s="88"/>
      <c r="V352" s="88"/>
      <c r="W352" s="88"/>
      <c r="X352" s="88"/>
      <c r="Y352" s="88"/>
      <c r="Z352" s="88"/>
      <c r="AA352" s="88"/>
      <c r="AB352" s="88"/>
      <c r="AC352" s="88"/>
      <c r="AD352" s="88"/>
      <c r="AE352" s="88"/>
    </row>
    <row r="353" spans="12:31" ht="15.75" customHeight="1" x14ac:dyDescent="0.3">
      <c r="L353" s="88"/>
      <c r="M353" s="88"/>
      <c r="N353" s="88"/>
      <c r="O353" s="88"/>
      <c r="P353" s="88"/>
      <c r="Q353" s="88"/>
      <c r="R353" s="88"/>
      <c r="S353" s="88"/>
      <c r="T353" s="88"/>
      <c r="U353" s="88"/>
      <c r="V353" s="88"/>
      <c r="W353" s="88"/>
      <c r="X353" s="88"/>
      <c r="Y353" s="88"/>
      <c r="Z353" s="88"/>
      <c r="AA353" s="88"/>
      <c r="AB353" s="88"/>
      <c r="AC353" s="88"/>
      <c r="AD353" s="88"/>
      <c r="AE353" s="88"/>
    </row>
    <row r="354" spans="12:31" ht="15.75" customHeight="1" x14ac:dyDescent="0.3">
      <c r="L354" s="88"/>
      <c r="M354" s="88"/>
      <c r="N354" s="88"/>
      <c r="O354" s="88"/>
      <c r="P354" s="88"/>
      <c r="Q354" s="88"/>
      <c r="R354" s="88"/>
      <c r="S354" s="88"/>
      <c r="T354" s="88"/>
      <c r="U354" s="88"/>
      <c r="V354" s="88"/>
      <c r="W354" s="88"/>
      <c r="X354" s="88"/>
      <c r="Y354" s="88"/>
      <c r="Z354" s="88"/>
      <c r="AA354" s="88"/>
      <c r="AB354" s="88"/>
      <c r="AC354" s="88"/>
      <c r="AD354" s="88"/>
      <c r="AE354" s="88"/>
    </row>
    <row r="355" spans="12:31" ht="15.75" customHeight="1" x14ac:dyDescent="0.3">
      <c r="L355" s="88"/>
      <c r="M355" s="88"/>
      <c r="N355" s="88"/>
      <c r="O355" s="88"/>
      <c r="P355" s="88"/>
      <c r="Q355" s="88"/>
      <c r="R355" s="88"/>
      <c r="S355" s="88"/>
      <c r="T355" s="88"/>
      <c r="U355" s="88"/>
      <c r="V355" s="88"/>
      <c r="W355" s="88"/>
      <c r="X355" s="88"/>
      <c r="Y355" s="88"/>
      <c r="Z355" s="88"/>
      <c r="AA355" s="88"/>
      <c r="AB355" s="88"/>
      <c r="AC355" s="88"/>
      <c r="AD355" s="88"/>
      <c r="AE355" s="88"/>
    </row>
    <row r="356" spans="12:31" ht="15.75" customHeight="1" x14ac:dyDescent="0.3">
      <c r="L356" s="88"/>
      <c r="M356" s="88"/>
      <c r="N356" s="88"/>
      <c r="O356" s="88"/>
      <c r="P356" s="88"/>
      <c r="Q356" s="88"/>
      <c r="R356" s="88"/>
      <c r="S356" s="88"/>
      <c r="T356" s="88"/>
      <c r="U356" s="88"/>
      <c r="V356" s="88"/>
      <c r="W356" s="88"/>
      <c r="X356" s="88"/>
      <c r="Y356" s="88"/>
      <c r="Z356" s="88"/>
      <c r="AA356" s="88"/>
      <c r="AB356" s="88"/>
      <c r="AC356" s="88"/>
      <c r="AD356" s="88"/>
      <c r="AE356" s="88"/>
    </row>
    <row r="357" spans="12:31" ht="15.75" customHeight="1" x14ac:dyDescent="0.3">
      <c r="L357" s="88"/>
      <c r="M357" s="88"/>
      <c r="N357" s="88"/>
      <c r="O357" s="88"/>
      <c r="P357" s="88"/>
      <c r="Q357" s="88"/>
      <c r="R357" s="88"/>
      <c r="S357" s="88"/>
      <c r="T357" s="88"/>
      <c r="U357" s="88"/>
      <c r="V357" s="88"/>
      <c r="W357" s="88"/>
      <c r="X357" s="88"/>
      <c r="Y357" s="88"/>
      <c r="Z357" s="88"/>
      <c r="AA357" s="88"/>
      <c r="AB357" s="88"/>
      <c r="AC357" s="88"/>
      <c r="AD357" s="88"/>
      <c r="AE357" s="88"/>
    </row>
    <row r="358" spans="12:31" ht="15.75" customHeight="1" x14ac:dyDescent="0.3">
      <c r="L358" s="88"/>
      <c r="M358" s="88"/>
      <c r="N358" s="88"/>
      <c r="O358" s="88"/>
      <c r="P358" s="88"/>
      <c r="Q358" s="88"/>
      <c r="R358" s="88"/>
      <c r="S358" s="88"/>
      <c r="T358" s="88"/>
      <c r="U358" s="88"/>
      <c r="V358" s="88"/>
      <c r="W358" s="88"/>
      <c r="X358" s="88"/>
      <c r="Y358" s="88"/>
      <c r="Z358" s="88"/>
      <c r="AA358" s="88"/>
      <c r="AB358" s="88"/>
      <c r="AC358" s="88"/>
      <c r="AD358" s="88"/>
      <c r="AE358" s="88"/>
    </row>
    <row r="359" spans="12:31" ht="15.75" customHeight="1" x14ac:dyDescent="0.3">
      <c r="L359" s="88"/>
      <c r="M359" s="88"/>
      <c r="N359" s="88"/>
      <c r="O359" s="88"/>
      <c r="P359" s="88"/>
      <c r="Q359" s="88"/>
      <c r="R359" s="88"/>
      <c r="S359" s="88"/>
      <c r="T359" s="88"/>
      <c r="U359" s="88"/>
      <c r="V359" s="88"/>
      <c r="W359" s="88"/>
      <c r="X359" s="88"/>
      <c r="Y359" s="88"/>
      <c r="Z359" s="88"/>
      <c r="AA359" s="88"/>
      <c r="AB359" s="88"/>
      <c r="AC359" s="88"/>
      <c r="AD359" s="88"/>
      <c r="AE359" s="88"/>
    </row>
    <row r="360" spans="12:31" ht="15.75" customHeight="1" x14ac:dyDescent="0.3">
      <c r="L360" s="88"/>
      <c r="M360" s="88"/>
      <c r="N360" s="88"/>
      <c r="O360" s="88"/>
      <c r="P360" s="88"/>
      <c r="Q360" s="88"/>
      <c r="R360" s="88"/>
      <c r="S360" s="88"/>
      <c r="T360" s="88"/>
      <c r="U360" s="88"/>
      <c r="V360" s="88"/>
      <c r="W360" s="88"/>
      <c r="X360" s="88"/>
      <c r="Y360" s="88"/>
      <c r="Z360" s="88"/>
      <c r="AA360" s="88"/>
      <c r="AB360" s="88"/>
      <c r="AC360" s="88"/>
      <c r="AD360" s="88"/>
      <c r="AE360" s="88"/>
    </row>
    <row r="361" spans="12:31" ht="15.75" customHeight="1" x14ac:dyDescent="0.3">
      <c r="L361" s="88"/>
      <c r="M361" s="88"/>
      <c r="N361" s="88"/>
      <c r="O361" s="88"/>
      <c r="P361" s="88"/>
      <c r="Q361" s="88"/>
      <c r="R361" s="88"/>
      <c r="S361" s="88"/>
      <c r="T361" s="88"/>
      <c r="U361" s="88"/>
      <c r="V361" s="88"/>
      <c r="W361" s="88"/>
      <c r="X361" s="88"/>
      <c r="Y361" s="88"/>
      <c r="Z361" s="88"/>
      <c r="AA361" s="88"/>
      <c r="AB361" s="88"/>
      <c r="AC361" s="88"/>
      <c r="AD361" s="88"/>
      <c r="AE361" s="88"/>
    </row>
    <row r="362" spans="12:31" ht="15.75" customHeight="1" x14ac:dyDescent="0.3">
      <c r="L362" s="88"/>
      <c r="M362" s="88"/>
      <c r="N362" s="88"/>
      <c r="O362" s="88"/>
      <c r="P362" s="88"/>
      <c r="Q362" s="88"/>
      <c r="R362" s="88"/>
      <c r="S362" s="88"/>
      <c r="T362" s="88"/>
      <c r="U362" s="88"/>
      <c r="V362" s="88"/>
      <c r="W362" s="88"/>
      <c r="X362" s="88"/>
      <c r="Y362" s="88"/>
      <c r="Z362" s="88"/>
      <c r="AA362" s="88"/>
      <c r="AB362" s="88"/>
      <c r="AC362" s="88"/>
      <c r="AD362" s="88"/>
      <c r="AE362" s="88"/>
    </row>
    <row r="363" spans="12:31" ht="15.75" customHeight="1" x14ac:dyDescent="0.3">
      <c r="L363" s="88"/>
      <c r="M363" s="88"/>
      <c r="N363" s="88"/>
      <c r="O363" s="88"/>
      <c r="P363" s="88"/>
      <c r="Q363" s="88"/>
      <c r="R363" s="88"/>
      <c r="S363" s="88"/>
      <c r="T363" s="88"/>
      <c r="U363" s="88"/>
      <c r="V363" s="88"/>
      <c r="W363" s="88"/>
      <c r="X363" s="88"/>
      <c r="Y363" s="88"/>
      <c r="Z363" s="88"/>
      <c r="AA363" s="88"/>
      <c r="AB363" s="88"/>
      <c r="AC363" s="88"/>
      <c r="AD363" s="88"/>
      <c r="AE363" s="88"/>
    </row>
    <row r="364" spans="12:31" ht="15.75" customHeight="1" x14ac:dyDescent="0.3">
      <c r="L364" s="88"/>
      <c r="M364" s="88"/>
      <c r="N364" s="88"/>
      <c r="O364" s="88"/>
      <c r="P364" s="88"/>
      <c r="Q364" s="88"/>
      <c r="R364" s="88"/>
      <c r="S364" s="88"/>
      <c r="T364" s="88"/>
      <c r="U364" s="88"/>
      <c r="V364" s="88"/>
      <c r="W364" s="88"/>
      <c r="X364" s="88"/>
      <c r="Y364" s="88"/>
      <c r="Z364" s="88"/>
      <c r="AA364" s="88"/>
      <c r="AB364" s="88"/>
      <c r="AC364" s="88"/>
      <c r="AD364" s="88"/>
      <c r="AE364" s="88"/>
    </row>
    <row r="365" spans="12:31" ht="15.75" customHeight="1" x14ac:dyDescent="0.3">
      <c r="L365" s="88"/>
      <c r="M365" s="88"/>
      <c r="N365" s="88"/>
      <c r="O365" s="88"/>
      <c r="P365" s="88"/>
      <c r="Q365" s="88"/>
      <c r="R365" s="88"/>
      <c r="S365" s="88"/>
      <c r="T365" s="88"/>
      <c r="U365" s="88"/>
      <c r="V365" s="88"/>
      <c r="W365" s="88"/>
      <c r="X365" s="88"/>
      <c r="Y365" s="88"/>
      <c r="Z365" s="88"/>
      <c r="AA365" s="88"/>
      <c r="AB365" s="88"/>
      <c r="AC365" s="88"/>
      <c r="AD365" s="88"/>
      <c r="AE365" s="88"/>
    </row>
    <row r="366" spans="12:31" ht="15.75" customHeight="1" x14ac:dyDescent="0.3">
      <c r="L366" s="88"/>
      <c r="M366" s="88"/>
      <c r="N366" s="88"/>
      <c r="O366" s="88"/>
      <c r="P366" s="88"/>
      <c r="Q366" s="88"/>
      <c r="R366" s="88"/>
      <c r="S366" s="88"/>
      <c r="T366" s="88"/>
      <c r="U366" s="88"/>
      <c r="V366" s="88"/>
      <c r="W366" s="88"/>
      <c r="X366" s="88"/>
      <c r="Y366" s="88"/>
      <c r="Z366" s="88"/>
      <c r="AA366" s="88"/>
      <c r="AB366" s="88"/>
      <c r="AC366" s="88"/>
      <c r="AD366" s="88"/>
      <c r="AE366" s="88"/>
    </row>
    <row r="367" spans="12:31" ht="15.75" customHeight="1" x14ac:dyDescent="0.3">
      <c r="L367" s="88"/>
      <c r="M367" s="88"/>
      <c r="N367" s="88"/>
      <c r="O367" s="88"/>
      <c r="P367" s="88"/>
      <c r="Q367" s="88"/>
      <c r="R367" s="88"/>
      <c r="S367" s="88"/>
      <c r="T367" s="88"/>
      <c r="U367" s="88"/>
      <c r="V367" s="88"/>
      <c r="W367" s="88"/>
      <c r="X367" s="88"/>
      <c r="Y367" s="88"/>
      <c r="Z367" s="88"/>
      <c r="AA367" s="88"/>
      <c r="AB367" s="88"/>
      <c r="AC367" s="88"/>
      <c r="AD367" s="88"/>
      <c r="AE367" s="88"/>
    </row>
    <row r="368" spans="12:31" ht="15.75" customHeight="1" x14ac:dyDescent="0.3">
      <c r="L368" s="88"/>
      <c r="M368" s="88"/>
      <c r="N368" s="88"/>
      <c r="O368" s="88"/>
      <c r="P368" s="88"/>
      <c r="Q368" s="88"/>
      <c r="R368" s="88"/>
      <c r="S368" s="88"/>
      <c r="T368" s="88"/>
      <c r="U368" s="88"/>
      <c r="V368" s="88"/>
      <c r="W368" s="88"/>
      <c r="X368" s="88"/>
      <c r="Y368" s="88"/>
      <c r="Z368" s="88"/>
      <c r="AA368" s="88"/>
      <c r="AB368" s="88"/>
      <c r="AC368" s="88"/>
      <c r="AD368" s="88"/>
      <c r="AE368" s="88"/>
    </row>
    <row r="369" spans="12:31" ht="15.75" customHeight="1" x14ac:dyDescent="0.3">
      <c r="L369" s="88"/>
      <c r="M369" s="88"/>
      <c r="N369" s="88"/>
      <c r="O369" s="88"/>
      <c r="P369" s="88"/>
      <c r="Q369" s="88"/>
      <c r="R369" s="88"/>
      <c r="S369" s="88"/>
      <c r="T369" s="88"/>
      <c r="U369" s="88"/>
      <c r="V369" s="88"/>
      <c r="W369" s="88"/>
      <c r="X369" s="88"/>
      <c r="Y369" s="88"/>
      <c r="Z369" s="88"/>
      <c r="AA369" s="88"/>
      <c r="AB369" s="88"/>
      <c r="AC369" s="88"/>
      <c r="AD369" s="88"/>
      <c r="AE369" s="88"/>
    </row>
    <row r="370" spans="12:31" ht="15.75" customHeight="1" x14ac:dyDescent="0.3">
      <c r="L370" s="88"/>
      <c r="M370" s="88"/>
      <c r="N370" s="88"/>
      <c r="O370" s="88"/>
      <c r="P370" s="88"/>
      <c r="Q370" s="88"/>
      <c r="R370" s="88"/>
      <c r="S370" s="88"/>
      <c r="T370" s="88"/>
      <c r="U370" s="88"/>
      <c r="V370" s="88"/>
      <c r="W370" s="88"/>
      <c r="X370" s="88"/>
      <c r="Y370" s="88"/>
      <c r="Z370" s="88"/>
      <c r="AA370" s="88"/>
      <c r="AB370" s="88"/>
      <c r="AC370" s="88"/>
      <c r="AD370" s="88"/>
      <c r="AE370" s="88"/>
    </row>
    <row r="371" spans="12:31" ht="15.75" customHeight="1" x14ac:dyDescent="0.3">
      <c r="L371" s="88"/>
      <c r="M371" s="88"/>
      <c r="N371" s="88"/>
      <c r="O371" s="88"/>
      <c r="P371" s="88"/>
      <c r="Q371" s="88"/>
      <c r="R371" s="88"/>
      <c r="S371" s="88"/>
      <c r="T371" s="88"/>
      <c r="U371" s="88"/>
      <c r="V371" s="88"/>
      <c r="W371" s="88"/>
      <c r="X371" s="88"/>
      <c r="Y371" s="88"/>
      <c r="Z371" s="88"/>
      <c r="AA371" s="88"/>
      <c r="AB371" s="88"/>
      <c r="AC371" s="88"/>
      <c r="AD371" s="88"/>
      <c r="AE371" s="88"/>
    </row>
    <row r="372" spans="12:31" ht="15.75" customHeight="1" x14ac:dyDescent="0.3">
      <c r="L372" s="88"/>
      <c r="M372" s="88"/>
      <c r="N372" s="88"/>
      <c r="O372" s="88"/>
      <c r="P372" s="88"/>
      <c r="Q372" s="88"/>
      <c r="R372" s="88"/>
      <c r="S372" s="88"/>
      <c r="T372" s="88"/>
      <c r="U372" s="88"/>
      <c r="V372" s="88"/>
      <c r="W372" s="88"/>
      <c r="X372" s="88"/>
      <c r="Y372" s="88"/>
      <c r="Z372" s="88"/>
      <c r="AA372" s="88"/>
      <c r="AB372" s="88"/>
      <c r="AC372" s="88"/>
      <c r="AD372" s="88"/>
      <c r="AE372" s="88"/>
    </row>
    <row r="373" spans="12:31" ht="15.75" customHeight="1" x14ac:dyDescent="0.3">
      <c r="L373" s="88"/>
      <c r="M373" s="88"/>
      <c r="N373" s="88"/>
      <c r="O373" s="88"/>
      <c r="P373" s="88"/>
      <c r="Q373" s="88"/>
      <c r="R373" s="88"/>
      <c r="S373" s="88"/>
      <c r="T373" s="88"/>
      <c r="U373" s="88"/>
      <c r="V373" s="88"/>
      <c r="W373" s="88"/>
      <c r="X373" s="88"/>
      <c r="Y373" s="88"/>
      <c r="Z373" s="88"/>
      <c r="AA373" s="88"/>
      <c r="AB373" s="88"/>
      <c r="AC373" s="88"/>
      <c r="AD373" s="88"/>
      <c r="AE373" s="88"/>
    </row>
    <row r="374" spans="12:31" ht="15.75" customHeight="1" x14ac:dyDescent="0.3">
      <c r="L374" s="88"/>
      <c r="M374" s="88"/>
      <c r="N374" s="88"/>
      <c r="O374" s="88"/>
      <c r="P374" s="88"/>
      <c r="Q374" s="88"/>
      <c r="R374" s="88"/>
      <c r="S374" s="88"/>
      <c r="T374" s="88"/>
      <c r="U374" s="88"/>
      <c r="V374" s="88"/>
      <c r="W374" s="88"/>
      <c r="X374" s="88"/>
      <c r="Y374" s="88"/>
      <c r="Z374" s="88"/>
      <c r="AA374" s="88"/>
      <c r="AB374" s="88"/>
      <c r="AC374" s="88"/>
      <c r="AD374" s="88"/>
      <c r="AE374" s="88"/>
    </row>
    <row r="375" spans="12:31" ht="15.75" customHeight="1" x14ac:dyDescent="0.3">
      <c r="L375" s="88"/>
      <c r="M375" s="88"/>
      <c r="N375" s="88"/>
      <c r="O375" s="88"/>
      <c r="P375" s="88"/>
      <c r="Q375" s="88"/>
      <c r="R375" s="88"/>
      <c r="S375" s="88"/>
      <c r="T375" s="88"/>
      <c r="U375" s="88"/>
      <c r="V375" s="88"/>
      <c r="W375" s="88"/>
      <c r="X375" s="88"/>
      <c r="Y375" s="88"/>
      <c r="Z375" s="88"/>
      <c r="AA375" s="88"/>
      <c r="AB375" s="88"/>
      <c r="AC375" s="88"/>
      <c r="AD375" s="88"/>
      <c r="AE375" s="88"/>
    </row>
    <row r="376" spans="12:31" ht="15.75" customHeight="1" x14ac:dyDescent="0.3">
      <c r="L376" s="88"/>
      <c r="M376" s="88"/>
      <c r="N376" s="88"/>
      <c r="O376" s="88"/>
      <c r="P376" s="88"/>
      <c r="Q376" s="88"/>
      <c r="R376" s="88"/>
      <c r="S376" s="88"/>
      <c r="T376" s="88"/>
      <c r="U376" s="88"/>
      <c r="V376" s="88"/>
      <c r="W376" s="88"/>
      <c r="X376" s="88"/>
      <c r="Y376" s="88"/>
      <c r="Z376" s="88"/>
      <c r="AA376" s="88"/>
      <c r="AB376" s="88"/>
      <c r="AC376" s="88"/>
      <c r="AD376" s="88"/>
      <c r="AE376" s="88"/>
    </row>
    <row r="377" spans="12:31" ht="15.75" customHeight="1" x14ac:dyDescent="0.3">
      <c r="L377" s="88"/>
      <c r="M377" s="88"/>
      <c r="N377" s="88"/>
      <c r="O377" s="88"/>
      <c r="P377" s="88"/>
      <c r="Q377" s="88"/>
      <c r="R377" s="88"/>
      <c r="S377" s="88"/>
      <c r="T377" s="88"/>
      <c r="U377" s="88"/>
      <c r="V377" s="88"/>
      <c r="W377" s="88"/>
      <c r="X377" s="88"/>
      <c r="Y377" s="88"/>
      <c r="Z377" s="88"/>
      <c r="AA377" s="88"/>
      <c r="AB377" s="88"/>
      <c r="AC377" s="88"/>
      <c r="AD377" s="88"/>
      <c r="AE377" s="88"/>
    </row>
    <row r="378" spans="12:31" ht="15.75" customHeight="1" x14ac:dyDescent="0.3">
      <c r="L378" s="88"/>
      <c r="M378" s="88"/>
      <c r="N378" s="88"/>
      <c r="O378" s="88"/>
      <c r="P378" s="88"/>
      <c r="Q378" s="88"/>
      <c r="R378" s="88"/>
      <c r="S378" s="88"/>
      <c r="T378" s="88"/>
      <c r="U378" s="88"/>
      <c r="V378" s="88"/>
      <c r="W378" s="88"/>
      <c r="X378" s="88"/>
      <c r="Y378" s="88"/>
      <c r="Z378" s="88"/>
      <c r="AA378" s="88"/>
      <c r="AB378" s="88"/>
      <c r="AC378" s="88"/>
      <c r="AD378" s="88"/>
      <c r="AE378" s="88"/>
    </row>
    <row r="379" spans="12:31" ht="15.75" customHeight="1" x14ac:dyDescent="0.3">
      <c r="L379" s="88"/>
      <c r="M379" s="88"/>
      <c r="N379" s="88"/>
      <c r="O379" s="88"/>
      <c r="P379" s="88"/>
      <c r="Q379" s="88"/>
      <c r="R379" s="88"/>
      <c r="S379" s="88"/>
      <c r="T379" s="88"/>
      <c r="U379" s="88"/>
      <c r="V379" s="88"/>
      <c r="W379" s="88"/>
      <c r="X379" s="88"/>
      <c r="Y379" s="88"/>
      <c r="Z379" s="88"/>
      <c r="AA379" s="88"/>
      <c r="AB379" s="88"/>
      <c r="AC379" s="88"/>
      <c r="AD379" s="88"/>
      <c r="AE379" s="88"/>
    </row>
    <row r="380" spans="12:31" ht="15.75" customHeight="1" x14ac:dyDescent="0.3">
      <c r="L380" s="88"/>
      <c r="M380" s="88"/>
      <c r="N380" s="88"/>
      <c r="O380" s="88"/>
      <c r="P380" s="88"/>
      <c r="Q380" s="88"/>
      <c r="R380" s="88"/>
      <c r="S380" s="88"/>
      <c r="T380" s="88"/>
      <c r="U380" s="88"/>
      <c r="V380" s="88"/>
      <c r="W380" s="88"/>
      <c r="X380" s="88"/>
      <c r="Y380" s="88"/>
      <c r="Z380" s="88"/>
      <c r="AA380" s="88"/>
      <c r="AB380" s="88"/>
      <c r="AC380" s="88"/>
      <c r="AD380" s="88"/>
      <c r="AE380" s="88"/>
    </row>
    <row r="381" spans="12:31" ht="15.75" customHeight="1" x14ac:dyDescent="0.3">
      <c r="L381" s="88"/>
      <c r="M381" s="88"/>
      <c r="N381" s="88"/>
      <c r="O381" s="88"/>
      <c r="P381" s="88"/>
      <c r="Q381" s="88"/>
      <c r="R381" s="88"/>
      <c r="S381" s="88"/>
      <c r="T381" s="88"/>
      <c r="U381" s="88"/>
      <c r="V381" s="88"/>
      <c r="W381" s="88"/>
      <c r="X381" s="88"/>
      <c r="Y381" s="88"/>
      <c r="Z381" s="88"/>
      <c r="AA381" s="88"/>
      <c r="AB381" s="88"/>
      <c r="AC381" s="88"/>
      <c r="AD381" s="88"/>
      <c r="AE381" s="88"/>
    </row>
    <row r="382" spans="12:31" ht="15.75" customHeight="1" x14ac:dyDescent="0.3">
      <c r="L382" s="88"/>
      <c r="M382" s="88"/>
      <c r="N382" s="88"/>
      <c r="O382" s="88"/>
      <c r="P382" s="88"/>
      <c r="Q382" s="88"/>
      <c r="R382" s="88"/>
      <c r="S382" s="88"/>
      <c r="T382" s="88"/>
      <c r="U382" s="88"/>
      <c r="V382" s="88"/>
      <c r="W382" s="88"/>
      <c r="X382" s="88"/>
      <c r="Y382" s="88"/>
      <c r="Z382" s="88"/>
      <c r="AA382" s="88"/>
      <c r="AB382" s="88"/>
      <c r="AC382" s="88"/>
      <c r="AD382" s="88"/>
      <c r="AE382" s="88"/>
    </row>
    <row r="383" spans="12:31" ht="15.75" customHeight="1" x14ac:dyDescent="0.3">
      <c r="L383" s="88"/>
      <c r="M383" s="88"/>
      <c r="N383" s="88"/>
      <c r="O383" s="88"/>
      <c r="P383" s="88"/>
      <c r="Q383" s="88"/>
      <c r="R383" s="88"/>
      <c r="S383" s="88"/>
      <c r="T383" s="88"/>
      <c r="U383" s="88"/>
      <c r="V383" s="88"/>
      <c r="W383" s="88"/>
      <c r="X383" s="88"/>
      <c r="Y383" s="88"/>
      <c r="Z383" s="88"/>
      <c r="AA383" s="88"/>
      <c r="AB383" s="88"/>
      <c r="AC383" s="88"/>
      <c r="AD383" s="88"/>
      <c r="AE383" s="88"/>
    </row>
    <row r="384" spans="12:31" ht="15.75" customHeight="1" x14ac:dyDescent="0.3">
      <c r="L384" s="88"/>
      <c r="M384" s="88"/>
      <c r="N384" s="88"/>
      <c r="O384" s="88"/>
      <c r="P384" s="88"/>
      <c r="Q384" s="88"/>
      <c r="R384" s="88"/>
      <c r="S384" s="88"/>
      <c r="T384" s="88"/>
      <c r="U384" s="88"/>
      <c r="V384" s="88"/>
      <c r="W384" s="88"/>
      <c r="X384" s="88"/>
      <c r="Y384" s="88"/>
      <c r="Z384" s="88"/>
      <c r="AA384" s="88"/>
      <c r="AB384" s="88"/>
      <c r="AC384" s="88"/>
      <c r="AD384" s="88"/>
      <c r="AE384" s="88"/>
    </row>
    <row r="385" spans="12:31" ht="15.75" customHeight="1" x14ac:dyDescent="0.3">
      <c r="L385" s="88"/>
      <c r="M385" s="88"/>
      <c r="N385" s="88"/>
      <c r="O385" s="88"/>
      <c r="P385" s="88"/>
      <c r="Q385" s="88"/>
      <c r="R385" s="88"/>
      <c r="S385" s="88"/>
      <c r="T385" s="88"/>
      <c r="U385" s="88"/>
      <c r="V385" s="88"/>
      <c r="W385" s="88"/>
      <c r="X385" s="88"/>
      <c r="Y385" s="88"/>
      <c r="Z385" s="88"/>
      <c r="AA385" s="88"/>
      <c r="AB385" s="88"/>
      <c r="AC385" s="88"/>
      <c r="AD385" s="88"/>
      <c r="AE385" s="88"/>
    </row>
    <row r="386" spans="12:31" ht="15.75" customHeight="1" x14ac:dyDescent="0.3">
      <c r="L386" s="88"/>
      <c r="M386" s="88"/>
      <c r="N386" s="88"/>
      <c r="O386" s="88"/>
      <c r="P386" s="88"/>
      <c r="Q386" s="88"/>
      <c r="R386" s="88"/>
      <c r="S386" s="88"/>
      <c r="T386" s="88"/>
      <c r="U386" s="88"/>
      <c r="V386" s="88"/>
      <c r="W386" s="88"/>
      <c r="X386" s="88"/>
      <c r="Y386" s="88"/>
      <c r="Z386" s="88"/>
      <c r="AA386" s="88"/>
      <c r="AB386" s="88"/>
      <c r="AC386" s="88"/>
      <c r="AD386" s="88"/>
      <c r="AE386" s="88"/>
    </row>
    <row r="387" spans="12:31" ht="15.75" customHeight="1" x14ac:dyDescent="0.3">
      <c r="L387" s="88"/>
      <c r="M387" s="88"/>
      <c r="N387" s="88"/>
      <c r="O387" s="88"/>
      <c r="P387" s="88"/>
      <c r="Q387" s="88"/>
      <c r="R387" s="88"/>
      <c r="S387" s="88"/>
      <c r="T387" s="88"/>
      <c r="U387" s="88"/>
      <c r="V387" s="88"/>
      <c r="W387" s="88"/>
      <c r="X387" s="88"/>
      <c r="Y387" s="88"/>
      <c r="Z387" s="88"/>
      <c r="AA387" s="88"/>
      <c r="AB387" s="88"/>
      <c r="AC387" s="88"/>
      <c r="AD387" s="88"/>
      <c r="AE387" s="88"/>
    </row>
    <row r="388" spans="12:31" ht="15.75" customHeight="1" x14ac:dyDescent="0.3">
      <c r="L388" s="88"/>
      <c r="M388" s="88"/>
      <c r="N388" s="88"/>
      <c r="O388" s="88"/>
      <c r="P388" s="88"/>
      <c r="Q388" s="88"/>
      <c r="R388" s="88"/>
      <c r="S388" s="88"/>
      <c r="T388" s="88"/>
      <c r="U388" s="88"/>
      <c r="V388" s="88"/>
      <c r="W388" s="88"/>
      <c r="X388" s="88"/>
      <c r="Y388" s="88"/>
      <c r="Z388" s="88"/>
      <c r="AA388" s="88"/>
      <c r="AB388" s="88"/>
      <c r="AC388" s="88"/>
      <c r="AD388" s="88"/>
      <c r="AE388" s="88"/>
    </row>
    <row r="389" spans="12:31" ht="15.75" customHeight="1" x14ac:dyDescent="0.3">
      <c r="L389" s="88"/>
      <c r="M389" s="88"/>
      <c r="N389" s="88"/>
      <c r="O389" s="88"/>
      <c r="P389" s="88"/>
      <c r="Q389" s="88"/>
      <c r="R389" s="88"/>
      <c r="S389" s="88"/>
      <c r="T389" s="88"/>
      <c r="U389" s="88"/>
      <c r="V389" s="88"/>
      <c r="W389" s="88"/>
      <c r="X389" s="88"/>
      <c r="Y389" s="88"/>
      <c r="Z389" s="88"/>
      <c r="AA389" s="88"/>
      <c r="AB389" s="88"/>
      <c r="AC389" s="88"/>
      <c r="AD389" s="88"/>
      <c r="AE389" s="88"/>
    </row>
    <row r="390" spans="12:31" ht="15.75" customHeight="1" x14ac:dyDescent="0.3">
      <c r="L390" s="88"/>
      <c r="M390" s="88"/>
      <c r="N390" s="88"/>
      <c r="O390" s="88"/>
      <c r="P390" s="88"/>
      <c r="Q390" s="88"/>
      <c r="R390" s="88"/>
      <c r="S390" s="88"/>
      <c r="T390" s="88"/>
      <c r="U390" s="88"/>
      <c r="V390" s="88"/>
      <c r="W390" s="88"/>
      <c r="X390" s="88"/>
      <c r="Y390" s="88"/>
      <c r="Z390" s="88"/>
      <c r="AA390" s="88"/>
      <c r="AB390" s="88"/>
      <c r="AC390" s="88"/>
      <c r="AD390" s="88"/>
      <c r="AE390" s="88"/>
    </row>
    <row r="391" spans="12:31" ht="15.75" customHeight="1" x14ac:dyDescent="0.3">
      <c r="L391" s="88"/>
      <c r="M391" s="88"/>
      <c r="N391" s="88"/>
      <c r="O391" s="88"/>
      <c r="P391" s="88"/>
      <c r="Q391" s="88"/>
      <c r="R391" s="88"/>
      <c r="S391" s="88"/>
      <c r="T391" s="88"/>
      <c r="U391" s="88"/>
      <c r="V391" s="88"/>
      <c r="W391" s="88"/>
      <c r="X391" s="88"/>
      <c r="Y391" s="88"/>
      <c r="Z391" s="88"/>
      <c r="AA391" s="88"/>
      <c r="AB391" s="88"/>
      <c r="AC391" s="88"/>
      <c r="AD391" s="88"/>
      <c r="AE391" s="88"/>
    </row>
    <row r="392" spans="12:31" ht="15.75" customHeight="1" x14ac:dyDescent="0.3">
      <c r="L392" s="88"/>
      <c r="M392" s="88"/>
      <c r="N392" s="88"/>
      <c r="O392" s="88"/>
      <c r="P392" s="88"/>
      <c r="Q392" s="88"/>
      <c r="R392" s="88"/>
      <c r="S392" s="88"/>
      <c r="T392" s="88"/>
      <c r="U392" s="88"/>
      <c r="V392" s="88"/>
      <c r="W392" s="88"/>
      <c r="X392" s="88"/>
      <c r="Y392" s="88"/>
      <c r="Z392" s="88"/>
      <c r="AA392" s="88"/>
      <c r="AB392" s="88"/>
      <c r="AC392" s="88"/>
      <c r="AD392" s="88"/>
      <c r="AE392" s="88"/>
    </row>
    <row r="393" spans="12:31" ht="15.75" customHeight="1" x14ac:dyDescent="0.3">
      <c r="L393" s="88"/>
      <c r="M393" s="88"/>
      <c r="N393" s="88"/>
      <c r="O393" s="88"/>
      <c r="P393" s="88"/>
      <c r="Q393" s="88"/>
      <c r="R393" s="88"/>
      <c r="S393" s="88"/>
      <c r="T393" s="88"/>
      <c r="U393" s="88"/>
      <c r="V393" s="88"/>
      <c r="W393" s="88"/>
      <c r="X393" s="88"/>
      <c r="Y393" s="88"/>
      <c r="Z393" s="88"/>
      <c r="AA393" s="88"/>
      <c r="AB393" s="88"/>
      <c r="AC393" s="88"/>
      <c r="AD393" s="88"/>
      <c r="AE393" s="88"/>
    </row>
    <row r="394" spans="12:31" ht="15.75" customHeight="1" x14ac:dyDescent="0.3">
      <c r="L394" s="88"/>
      <c r="M394" s="88"/>
      <c r="N394" s="88"/>
      <c r="O394" s="88"/>
      <c r="P394" s="88"/>
      <c r="Q394" s="88"/>
      <c r="R394" s="88"/>
      <c r="S394" s="88"/>
      <c r="T394" s="88"/>
      <c r="U394" s="88"/>
      <c r="V394" s="88"/>
      <c r="W394" s="88"/>
      <c r="X394" s="88"/>
      <c r="Y394" s="88"/>
      <c r="Z394" s="88"/>
      <c r="AA394" s="88"/>
      <c r="AB394" s="88"/>
      <c r="AC394" s="88"/>
      <c r="AD394" s="88"/>
      <c r="AE394" s="88"/>
    </row>
    <row r="395" spans="12:31" ht="15.75" customHeight="1" x14ac:dyDescent="0.3">
      <c r="L395" s="88"/>
      <c r="M395" s="88"/>
      <c r="N395" s="88"/>
      <c r="O395" s="88"/>
      <c r="P395" s="88"/>
      <c r="Q395" s="88"/>
      <c r="R395" s="88"/>
      <c r="S395" s="88"/>
      <c r="T395" s="88"/>
      <c r="U395" s="88"/>
      <c r="V395" s="88"/>
      <c r="W395" s="88"/>
      <c r="X395" s="88"/>
      <c r="Y395" s="88"/>
      <c r="Z395" s="88"/>
      <c r="AA395" s="88"/>
      <c r="AB395" s="88"/>
      <c r="AC395" s="88"/>
      <c r="AD395" s="88"/>
      <c r="AE395" s="88"/>
    </row>
    <row r="396" spans="12:31" ht="15.75" customHeight="1" x14ac:dyDescent="0.3">
      <c r="L396" s="88"/>
      <c r="M396" s="88"/>
      <c r="N396" s="88"/>
      <c r="O396" s="88"/>
      <c r="P396" s="88"/>
      <c r="Q396" s="88"/>
      <c r="R396" s="88"/>
      <c r="S396" s="88"/>
      <c r="T396" s="88"/>
      <c r="U396" s="88"/>
      <c r="V396" s="88"/>
      <c r="W396" s="88"/>
      <c r="X396" s="88"/>
      <c r="Y396" s="88"/>
      <c r="Z396" s="88"/>
      <c r="AA396" s="88"/>
      <c r="AB396" s="88"/>
      <c r="AC396" s="88"/>
      <c r="AD396" s="88"/>
      <c r="AE396" s="88"/>
    </row>
    <row r="397" spans="12:31" ht="15.75" customHeight="1" x14ac:dyDescent="0.3">
      <c r="L397" s="88"/>
      <c r="M397" s="88"/>
      <c r="N397" s="88"/>
      <c r="O397" s="88"/>
      <c r="P397" s="88"/>
      <c r="Q397" s="88"/>
      <c r="R397" s="88"/>
      <c r="S397" s="88"/>
      <c r="T397" s="88"/>
      <c r="U397" s="88"/>
      <c r="V397" s="88"/>
      <c r="W397" s="88"/>
      <c r="X397" s="88"/>
      <c r="Y397" s="88"/>
      <c r="Z397" s="88"/>
      <c r="AA397" s="88"/>
      <c r="AB397" s="88"/>
      <c r="AC397" s="88"/>
      <c r="AD397" s="88"/>
      <c r="AE397" s="88"/>
    </row>
    <row r="398" spans="12:31" ht="15.75" customHeight="1" x14ac:dyDescent="0.3">
      <c r="L398" s="88"/>
      <c r="M398" s="88"/>
      <c r="N398" s="88"/>
      <c r="O398" s="88"/>
      <c r="P398" s="88"/>
      <c r="Q398" s="88"/>
      <c r="R398" s="88"/>
      <c r="S398" s="88"/>
      <c r="T398" s="88"/>
      <c r="U398" s="88"/>
      <c r="V398" s="88"/>
      <c r="W398" s="88"/>
      <c r="X398" s="88"/>
      <c r="Y398" s="88"/>
      <c r="Z398" s="88"/>
      <c r="AA398" s="88"/>
      <c r="AB398" s="88"/>
      <c r="AC398" s="88"/>
      <c r="AD398" s="88"/>
      <c r="AE398" s="88"/>
    </row>
    <row r="399" spans="12:31" ht="15.75" customHeight="1" x14ac:dyDescent="0.3">
      <c r="L399" s="88"/>
      <c r="M399" s="88"/>
      <c r="N399" s="88"/>
      <c r="O399" s="88"/>
      <c r="P399" s="88"/>
      <c r="Q399" s="88"/>
      <c r="R399" s="88"/>
      <c r="S399" s="88"/>
      <c r="T399" s="88"/>
      <c r="U399" s="88"/>
      <c r="V399" s="88"/>
      <c r="W399" s="88"/>
      <c r="X399" s="88"/>
      <c r="Y399" s="88"/>
      <c r="Z399" s="88"/>
      <c r="AA399" s="88"/>
      <c r="AB399" s="88"/>
      <c r="AC399" s="88"/>
      <c r="AD399" s="88"/>
      <c r="AE399" s="88"/>
    </row>
    <row r="400" spans="12:31" ht="15.75" customHeight="1" x14ac:dyDescent="0.3">
      <c r="L400" s="88"/>
      <c r="M400" s="88"/>
      <c r="N400" s="88"/>
      <c r="O400" s="88"/>
      <c r="P400" s="88"/>
      <c r="Q400" s="88"/>
      <c r="R400" s="88"/>
      <c r="S400" s="88"/>
      <c r="T400" s="88"/>
      <c r="U400" s="88"/>
      <c r="V400" s="88"/>
      <c r="W400" s="88"/>
      <c r="X400" s="88"/>
      <c r="Y400" s="88"/>
      <c r="Z400" s="88"/>
      <c r="AA400" s="88"/>
      <c r="AB400" s="88"/>
      <c r="AC400" s="88"/>
      <c r="AD400" s="88"/>
      <c r="AE400" s="88"/>
    </row>
    <row r="401" spans="12:31" ht="15.75" customHeight="1" x14ac:dyDescent="0.3">
      <c r="L401" s="88"/>
      <c r="M401" s="88"/>
      <c r="N401" s="88"/>
      <c r="O401" s="88"/>
      <c r="P401" s="88"/>
      <c r="Q401" s="88"/>
      <c r="R401" s="88"/>
      <c r="S401" s="88"/>
      <c r="T401" s="88"/>
      <c r="U401" s="88"/>
      <c r="V401" s="88"/>
      <c r="W401" s="88"/>
      <c r="X401" s="88"/>
      <c r="Y401" s="88"/>
      <c r="Z401" s="88"/>
      <c r="AA401" s="88"/>
      <c r="AB401" s="88"/>
      <c r="AC401" s="88"/>
      <c r="AD401" s="88"/>
      <c r="AE401" s="88"/>
    </row>
    <row r="402" spans="12:31" ht="15.75" customHeight="1" x14ac:dyDescent="0.3">
      <c r="L402" s="88"/>
      <c r="M402" s="88"/>
      <c r="N402" s="88"/>
      <c r="O402" s="88"/>
      <c r="P402" s="88"/>
      <c r="Q402" s="88"/>
      <c r="R402" s="88"/>
      <c r="S402" s="88"/>
      <c r="T402" s="88"/>
      <c r="U402" s="88"/>
      <c r="V402" s="88"/>
      <c r="W402" s="88"/>
      <c r="X402" s="88"/>
      <c r="Y402" s="88"/>
      <c r="Z402" s="88"/>
      <c r="AA402" s="88"/>
      <c r="AB402" s="88"/>
      <c r="AC402" s="88"/>
      <c r="AD402" s="88"/>
      <c r="AE402" s="88"/>
    </row>
    <row r="403" spans="12:31" ht="15.75" customHeight="1" x14ac:dyDescent="0.3">
      <c r="L403" s="88"/>
      <c r="M403" s="88"/>
      <c r="N403" s="88"/>
      <c r="O403" s="88"/>
      <c r="P403" s="88"/>
      <c r="Q403" s="88"/>
      <c r="R403" s="88"/>
      <c r="S403" s="88"/>
      <c r="T403" s="88"/>
      <c r="U403" s="88"/>
      <c r="V403" s="88"/>
      <c r="W403" s="88"/>
      <c r="X403" s="88"/>
      <c r="Y403" s="88"/>
      <c r="Z403" s="88"/>
      <c r="AA403" s="88"/>
      <c r="AB403" s="88"/>
      <c r="AC403" s="88"/>
      <c r="AD403" s="88"/>
      <c r="AE403" s="88"/>
    </row>
    <row r="404" spans="12:31" ht="15.75" customHeight="1" x14ac:dyDescent="0.3">
      <c r="L404" s="88"/>
      <c r="M404" s="88"/>
      <c r="N404" s="88"/>
      <c r="O404" s="88"/>
      <c r="P404" s="88"/>
      <c r="Q404" s="88"/>
      <c r="R404" s="88"/>
      <c r="S404" s="88"/>
      <c r="T404" s="88"/>
      <c r="U404" s="88"/>
      <c r="V404" s="88"/>
      <c r="W404" s="88"/>
      <c r="X404" s="88"/>
      <c r="Y404" s="88"/>
      <c r="Z404" s="88"/>
      <c r="AA404" s="88"/>
      <c r="AB404" s="88"/>
      <c r="AC404" s="88"/>
      <c r="AD404" s="88"/>
      <c r="AE404" s="88"/>
    </row>
    <row r="405" spans="12:31" ht="15.75" customHeight="1" x14ac:dyDescent="0.3">
      <c r="L405" s="88"/>
      <c r="M405" s="88"/>
      <c r="N405" s="88"/>
      <c r="O405" s="88"/>
      <c r="P405" s="88"/>
      <c r="Q405" s="88"/>
      <c r="R405" s="88"/>
      <c r="S405" s="88"/>
      <c r="T405" s="88"/>
      <c r="U405" s="88"/>
      <c r="V405" s="88"/>
      <c r="W405" s="88"/>
      <c r="X405" s="88"/>
      <c r="Y405" s="88"/>
      <c r="Z405" s="88"/>
      <c r="AA405" s="88"/>
      <c r="AB405" s="88"/>
      <c r="AC405" s="88"/>
      <c r="AD405" s="88"/>
      <c r="AE405" s="88"/>
    </row>
    <row r="406" spans="12:31" ht="15.75" customHeight="1" x14ac:dyDescent="0.3">
      <c r="L406" s="88"/>
      <c r="M406" s="88"/>
      <c r="N406" s="88"/>
      <c r="O406" s="88"/>
      <c r="P406" s="88"/>
      <c r="Q406" s="88"/>
      <c r="R406" s="88"/>
      <c r="S406" s="88"/>
      <c r="T406" s="88"/>
      <c r="U406" s="88"/>
      <c r="V406" s="88"/>
      <c r="W406" s="88"/>
      <c r="X406" s="88"/>
      <c r="Y406" s="88"/>
      <c r="Z406" s="88"/>
      <c r="AA406" s="88"/>
      <c r="AB406" s="88"/>
      <c r="AC406" s="88"/>
      <c r="AD406" s="88"/>
      <c r="AE406" s="88"/>
    </row>
    <row r="407" spans="12:31" ht="15.75" customHeight="1" x14ac:dyDescent="0.3">
      <c r="L407" s="88"/>
      <c r="M407" s="88"/>
      <c r="N407" s="88"/>
      <c r="O407" s="88"/>
      <c r="P407" s="88"/>
      <c r="Q407" s="88"/>
      <c r="R407" s="88"/>
      <c r="S407" s="88"/>
      <c r="T407" s="88"/>
      <c r="U407" s="88"/>
      <c r="V407" s="88"/>
      <c r="W407" s="88"/>
      <c r="X407" s="88"/>
      <c r="Y407" s="88"/>
      <c r="Z407" s="88"/>
      <c r="AA407" s="88"/>
      <c r="AB407" s="88"/>
      <c r="AC407" s="88"/>
      <c r="AD407" s="88"/>
      <c r="AE407" s="88"/>
    </row>
    <row r="408" spans="12:31" ht="15.75" customHeight="1" x14ac:dyDescent="0.3">
      <c r="L408" s="88"/>
      <c r="M408" s="88"/>
      <c r="N408" s="88"/>
      <c r="O408" s="88"/>
      <c r="P408" s="88"/>
      <c r="Q408" s="88"/>
      <c r="R408" s="88"/>
      <c r="S408" s="88"/>
      <c r="T408" s="88"/>
      <c r="U408" s="88"/>
      <c r="V408" s="88"/>
      <c r="W408" s="88"/>
      <c r="X408" s="88"/>
      <c r="Y408" s="88"/>
      <c r="Z408" s="88"/>
      <c r="AA408" s="88"/>
      <c r="AB408" s="88"/>
      <c r="AC408" s="88"/>
      <c r="AD408" s="88"/>
      <c r="AE408" s="88"/>
    </row>
    <row r="409" spans="12:31" ht="15.75" customHeight="1" x14ac:dyDescent="0.3">
      <c r="L409" s="88"/>
      <c r="M409" s="88"/>
      <c r="N409" s="88"/>
      <c r="O409" s="88"/>
      <c r="P409" s="88"/>
      <c r="Q409" s="88"/>
      <c r="R409" s="88"/>
      <c r="S409" s="88"/>
      <c r="T409" s="88"/>
      <c r="U409" s="88"/>
      <c r="V409" s="88"/>
      <c r="W409" s="88"/>
      <c r="X409" s="88"/>
      <c r="Y409" s="88"/>
      <c r="Z409" s="88"/>
      <c r="AA409" s="88"/>
      <c r="AB409" s="88"/>
      <c r="AC409" s="88"/>
      <c r="AD409" s="88"/>
      <c r="AE409" s="88"/>
    </row>
    <row r="410" spans="12:31" ht="15.75" customHeight="1" x14ac:dyDescent="0.3">
      <c r="L410" s="88"/>
      <c r="M410" s="88"/>
      <c r="N410" s="88"/>
      <c r="O410" s="88"/>
      <c r="P410" s="88"/>
      <c r="Q410" s="88"/>
      <c r="R410" s="88"/>
      <c r="S410" s="88"/>
      <c r="T410" s="88"/>
      <c r="U410" s="88"/>
      <c r="V410" s="88"/>
      <c r="W410" s="88"/>
      <c r="X410" s="88"/>
      <c r="Y410" s="88"/>
      <c r="Z410" s="88"/>
      <c r="AA410" s="88"/>
      <c r="AB410" s="88"/>
      <c r="AC410" s="88"/>
      <c r="AD410" s="88"/>
      <c r="AE410" s="88"/>
    </row>
    <row r="411" spans="12:31" ht="15.75" customHeight="1" x14ac:dyDescent="0.3">
      <c r="L411" s="88"/>
      <c r="M411" s="88"/>
      <c r="N411" s="88"/>
      <c r="O411" s="88"/>
      <c r="P411" s="88"/>
      <c r="Q411" s="88"/>
      <c r="R411" s="88"/>
      <c r="S411" s="88"/>
      <c r="T411" s="88"/>
      <c r="U411" s="88"/>
      <c r="V411" s="88"/>
      <c r="W411" s="88"/>
      <c r="X411" s="88"/>
      <c r="Y411" s="88"/>
      <c r="Z411" s="88"/>
      <c r="AA411" s="88"/>
      <c r="AB411" s="88"/>
      <c r="AC411" s="88"/>
      <c r="AD411" s="88"/>
      <c r="AE411" s="88"/>
    </row>
    <row r="412" spans="12:31" ht="15.75" customHeight="1" x14ac:dyDescent="0.3">
      <c r="L412" s="88"/>
      <c r="M412" s="88"/>
      <c r="N412" s="88"/>
      <c r="O412" s="88"/>
      <c r="P412" s="88"/>
      <c r="Q412" s="88"/>
      <c r="R412" s="88"/>
      <c r="S412" s="88"/>
      <c r="T412" s="88"/>
      <c r="U412" s="88"/>
      <c r="V412" s="88"/>
      <c r="W412" s="88"/>
      <c r="X412" s="88"/>
      <c r="Y412" s="88"/>
      <c r="Z412" s="88"/>
      <c r="AA412" s="88"/>
      <c r="AB412" s="88"/>
      <c r="AC412" s="88"/>
      <c r="AD412" s="88"/>
      <c r="AE412" s="88"/>
    </row>
    <row r="413" spans="12:31" ht="15.75" customHeight="1" x14ac:dyDescent="0.3">
      <c r="L413" s="88"/>
      <c r="M413" s="88"/>
      <c r="N413" s="88"/>
      <c r="O413" s="88"/>
      <c r="P413" s="88"/>
      <c r="Q413" s="88"/>
      <c r="R413" s="88"/>
      <c r="S413" s="88"/>
      <c r="T413" s="88"/>
      <c r="U413" s="88"/>
      <c r="V413" s="88"/>
      <c r="W413" s="88"/>
      <c r="X413" s="88"/>
      <c r="Y413" s="88"/>
      <c r="Z413" s="88"/>
      <c r="AA413" s="88"/>
      <c r="AB413" s="88"/>
      <c r="AC413" s="88"/>
      <c r="AD413" s="88"/>
      <c r="AE413" s="88"/>
    </row>
    <row r="414" spans="12:31" ht="15.75" customHeight="1" x14ac:dyDescent="0.3">
      <c r="L414" s="88"/>
      <c r="M414" s="88"/>
      <c r="N414" s="88"/>
      <c r="O414" s="88"/>
      <c r="P414" s="88"/>
      <c r="Q414" s="88"/>
      <c r="R414" s="88"/>
      <c r="S414" s="88"/>
      <c r="T414" s="88"/>
      <c r="U414" s="88"/>
      <c r="V414" s="88"/>
      <c r="W414" s="88"/>
      <c r="X414" s="88"/>
      <c r="Y414" s="88"/>
      <c r="Z414" s="88"/>
      <c r="AA414" s="88"/>
      <c r="AB414" s="88"/>
      <c r="AC414" s="88"/>
      <c r="AD414" s="88"/>
      <c r="AE414" s="88"/>
    </row>
    <row r="415" spans="12:31" ht="15.75" customHeight="1" x14ac:dyDescent="0.3">
      <c r="L415" s="88"/>
      <c r="M415" s="88"/>
      <c r="N415" s="88"/>
      <c r="O415" s="88"/>
      <c r="P415" s="88"/>
      <c r="Q415" s="88"/>
      <c r="R415" s="88"/>
      <c r="S415" s="88"/>
      <c r="T415" s="88"/>
      <c r="U415" s="88"/>
      <c r="V415" s="88"/>
      <c r="W415" s="88"/>
      <c r="X415" s="88"/>
      <c r="Y415" s="88"/>
      <c r="Z415" s="88"/>
      <c r="AA415" s="88"/>
      <c r="AB415" s="88"/>
      <c r="AC415" s="88"/>
      <c r="AD415" s="88"/>
      <c r="AE415" s="88"/>
    </row>
    <row r="416" spans="12:31" ht="15.75" customHeight="1" x14ac:dyDescent="0.3">
      <c r="L416" s="88"/>
      <c r="M416" s="88"/>
      <c r="N416" s="88"/>
      <c r="O416" s="88"/>
      <c r="P416" s="88"/>
      <c r="Q416" s="88"/>
      <c r="R416" s="88"/>
      <c r="S416" s="88"/>
      <c r="T416" s="88"/>
      <c r="U416" s="88"/>
      <c r="V416" s="88"/>
      <c r="W416" s="88"/>
      <c r="X416" s="88"/>
      <c r="Y416" s="88"/>
      <c r="Z416" s="88"/>
      <c r="AA416" s="88"/>
      <c r="AB416" s="88"/>
      <c r="AC416" s="88"/>
      <c r="AD416" s="88"/>
      <c r="AE416" s="88"/>
    </row>
    <row r="417" spans="12:31" ht="15.75" customHeight="1" x14ac:dyDescent="0.3">
      <c r="L417" s="88"/>
      <c r="M417" s="88"/>
      <c r="N417" s="88"/>
      <c r="O417" s="88"/>
      <c r="P417" s="88"/>
      <c r="Q417" s="88"/>
      <c r="R417" s="88"/>
      <c r="S417" s="88"/>
      <c r="T417" s="88"/>
      <c r="U417" s="88"/>
      <c r="V417" s="88"/>
      <c r="W417" s="88"/>
      <c r="X417" s="88"/>
      <c r="Y417" s="88"/>
      <c r="Z417" s="88"/>
      <c r="AA417" s="88"/>
      <c r="AB417" s="88"/>
      <c r="AC417" s="88"/>
      <c r="AD417" s="88"/>
      <c r="AE417" s="88"/>
    </row>
    <row r="418" spans="12:31" ht="15.75" customHeight="1" x14ac:dyDescent="0.3">
      <c r="L418" s="88"/>
      <c r="M418" s="88"/>
      <c r="N418" s="88"/>
      <c r="O418" s="88"/>
      <c r="P418" s="88"/>
      <c r="Q418" s="88"/>
      <c r="R418" s="88"/>
      <c r="S418" s="88"/>
      <c r="T418" s="88"/>
      <c r="U418" s="88"/>
      <c r="V418" s="88"/>
      <c r="W418" s="88"/>
      <c r="X418" s="88"/>
      <c r="Y418" s="88"/>
      <c r="Z418" s="88"/>
      <c r="AA418" s="88"/>
      <c r="AB418" s="88"/>
      <c r="AC418" s="88"/>
      <c r="AD418" s="88"/>
      <c r="AE418" s="88"/>
    </row>
    <row r="419" spans="12:31" ht="15.75" customHeight="1" x14ac:dyDescent="0.3">
      <c r="L419" s="88"/>
      <c r="M419" s="88"/>
      <c r="N419" s="88"/>
      <c r="O419" s="88"/>
      <c r="P419" s="88"/>
      <c r="Q419" s="88"/>
      <c r="R419" s="88"/>
      <c r="S419" s="88"/>
      <c r="T419" s="88"/>
      <c r="U419" s="88"/>
      <c r="V419" s="88"/>
      <c r="W419" s="88"/>
      <c r="X419" s="88"/>
      <c r="Y419" s="88"/>
      <c r="Z419" s="88"/>
      <c r="AA419" s="88"/>
      <c r="AB419" s="88"/>
      <c r="AC419" s="88"/>
      <c r="AD419" s="88"/>
      <c r="AE419" s="88"/>
    </row>
    <row r="420" spans="12:31" ht="15.75" customHeight="1" x14ac:dyDescent="0.3">
      <c r="L420" s="88"/>
      <c r="M420" s="88"/>
      <c r="N420" s="88"/>
      <c r="O420" s="88"/>
      <c r="P420" s="88"/>
      <c r="Q420" s="88"/>
      <c r="R420" s="88"/>
      <c r="S420" s="88"/>
      <c r="T420" s="88"/>
      <c r="U420" s="88"/>
      <c r="V420" s="88"/>
      <c r="W420" s="88"/>
      <c r="X420" s="88"/>
      <c r="Y420" s="88"/>
      <c r="Z420" s="88"/>
      <c r="AA420" s="88"/>
      <c r="AB420" s="88"/>
      <c r="AC420" s="88"/>
      <c r="AD420" s="88"/>
      <c r="AE420" s="88"/>
    </row>
    <row r="421" spans="12:31" ht="15.75" customHeight="1" x14ac:dyDescent="0.3">
      <c r="L421" s="88"/>
      <c r="M421" s="88"/>
      <c r="N421" s="88"/>
      <c r="O421" s="88"/>
      <c r="P421" s="88"/>
      <c r="Q421" s="88"/>
      <c r="R421" s="88"/>
      <c r="S421" s="88"/>
      <c r="T421" s="88"/>
      <c r="U421" s="88"/>
      <c r="V421" s="88"/>
      <c r="W421" s="88"/>
      <c r="X421" s="88"/>
      <c r="Y421" s="88"/>
      <c r="Z421" s="88"/>
      <c r="AA421" s="88"/>
      <c r="AB421" s="88"/>
      <c r="AC421" s="88"/>
      <c r="AD421" s="88"/>
      <c r="AE421" s="88"/>
    </row>
    <row r="422" spans="12:31" ht="15.75" customHeight="1" x14ac:dyDescent="0.3">
      <c r="L422" s="88"/>
      <c r="M422" s="88"/>
      <c r="N422" s="88"/>
      <c r="O422" s="88"/>
      <c r="P422" s="88"/>
      <c r="Q422" s="88"/>
      <c r="R422" s="88"/>
      <c r="S422" s="88"/>
      <c r="T422" s="88"/>
      <c r="U422" s="88"/>
      <c r="V422" s="88"/>
      <c r="W422" s="88"/>
      <c r="X422" s="88"/>
      <c r="Y422" s="88"/>
      <c r="Z422" s="88"/>
      <c r="AA422" s="88"/>
      <c r="AB422" s="88"/>
      <c r="AC422" s="88"/>
      <c r="AD422" s="88"/>
      <c r="AE422" s="88"/>
    </row>
    <row r="423" spans="12:31" ht="15.75" customHeight="1" x14ac:dyDescent="0.3">
      <c r="L423" s="88"/>
      <c r="M423" s="88"/>
      <c r="N423" s="88"/>
      <c r="O423" s="88"/>
      <c r="P423" s="88"/>
      <c r="Q423" s="88"/>
      <c r="R423" s="88"/>
      <c r="S423" s="88"/>
      <c r="T423" s="88"/>
      <c r="U423" s="88"/>
      <c r="V423" s="88"/>
      <c r="W423" s="88"/>
      <c r="X423" s="88"/>
      <c r="Y423" s="88"/>
      <c r="Z423" s="88"/>
      <c r="AA423" s="88"/>
      <c r="AB423" s="88"/>
      <c r="AC423" s="88"/>
      <c r="AD423" s="88"/>
      <c r="AE423" s="88"/>
    </row>
    <row r="424" spans="12:31" ht="15.75" customHeight="1" x14ac:dyDescent="0.3">
      <c r="L424" s="88"/>
      <c r="M424" s="88"/>
      <c r="N424" s="88"/>
      <c r="O424" s="88"/>
      <c r="P424" s="88"/>
      <c r="Q424" s="88"/>
      <c r="R424" s="88"/>
      <c r="S424" s="88"/>
      <c r="T424" s="88"/>
      <c r="U424" s="88"/>
      <c r="V424" s="88"/>
      <c r="W424" s="88"/>
      <c r="X424" s="88"/>
      <c r="Y424" s="88"/>
      <c r="Z424" s="88"/>
      <c r="AA424" s="88"/>
      <c r="AB424" s="88"/>
      <c r="AC424" s="88"/>
      <c r="AD424" s="88"/>
      <c r="AE424" s="88"/>
    </row>
    <row r="425" spans="12:31" ht="15.75" customHeight="1" x14ac:dyDescent="0.3">
      <c r="L425" s="88"/>
      <c r="M425" s="88"/>
      <c r="N425" s="88"/>
      <c r="O425" s="88"/>
      <c r="P425" s="88"/>
      <c r="Q425" s="88"/>
      <c r="R425" s="88"/>
      <c r="S425" s="88"/>
      <c r="T425" s="88"/>
      <c r="U425" s="88"/>
      <c r="V425" s="88"/>
      <c r="W425" s="88"/>
      <c r="X425" s="88"/>
      <c r="Y425" s="88"/>
      <c r="Z425" s="88"/>
      <c r="AA425" s="88"/>
      <c r="AB425" s="88"/>
      <c r="AC425" s="88"/>
      <c r="AD425" s="88"/>
      <c r="AE425" s="88"/>
    </row>
    <row r="426" spans="12:31" ht="15.75" customHeight="1" x14ac:dyDescent="0.3">
      <c r="L426" s="88"/>
      <c r="M426" s="88"/>
      <c r="N426" s="88"/>
      <c r="O426" s="88"/>
      <c r="P426" s="88"/>
      <c r="Q426" s="88"/>
      <c r="R426" s="88"/>
      <c r="S426" s="88"/>
      <c r="T426" s="88"/>
      <c r="U426" s="88"/>
      <c r="V426" s="88"/>
      <c r="W426" s="88"/>
      <c r="X426" s="88"/>
      <c r="Y426" s="88"/>
      <c r="Z426" s="88"/>
      <c r="AA426" s="88"/>
      <c r="AB426" s="88"/>
      <c r="AC426" s="88"/>
      <c r="AD426" s="88"/>
      <c r="AE426" s="88"/>
    </row>
    <row r="427" spans="12:31" ht="15.75" customHeight="1" x14ac:dyDescent="0.3">
      <c r="L427" s="88"/>
      <c r="M427" s="88"/>
      <c r="N427" s="88"/>
      <c r="O427" s="88"/>
      <c r="P427" s="88"/>
      <c r="Q427" s="88"/>
      <c r="R427" s="88"/>
      <c r="S427" s="88"/>
      <c r="T427" s="88"/>
      <c r="U427" s="88"/>
      <c r="V427" s="88"/>
      <c r="W427" s="88"/>
      <c r="X427" s="88"/>
      <c r="Y427" s="88"/>
      <c r="Z427" s="88"/>
      <c r="AA427" s="88"/>
      <c r="AB427" s="88"/>
      <c r="AC427" s="88"/>
      <c r="AD427" s="88"/>
      <c r="AE427" s="88"/>
    </row>
    <row r="428" spans="12:31" ht="15.75" customHeight="1" x14ac:dyDescent="0.3">
      <c r="L428" s="88"/>
      <c r="M428" s="88"/>
      <c r="N428" s="88"/>
      <c r="O428" s="88"/>
      <c r="P428" s="88"/>
      <c r="Q428" s="88"/>
      <c r="R428" s="88"/>
      <c r="S428" s="88"/>
      <c r="T428" s="88"/>
      <c r="U428" s="88"/>
      <c r="V428" s="88"/>
      <c r="W428" s="88"/>
      <c r="X428" s="88"/>
      <c r="Y428" s="88"/>
      <c r="Z428" s="88"/>
      <c r="AA428" s="88"/>
      <c r="AB428" s="88"/>
      <c r="AC428" s="88"/>
      <c r="AD428" s="88"/>
      <c r="AE428" s="88"/>
    </row>
    <row r="429" spans="12:31" ht="15.75" customHeight="1" x14ac:dyDescent="0.3">
      <c r="L429" s="88"/>
      <c r="M429" s="88"/>
      <c r="N429" s="88"/>
      <c r="O429" s="88"/>
      <c r="P429" s="88"/>
      <c r="Q429" s="88"/>
      <c r="R429" s="88"/>
      <c r="S429" s="88"/>
      <c r="T429" s="88"/>
      <c r="U429" s="88"/>
      <c r="V429" s="88"/>
      <c r="W429" s="88"/>
      <c r="X429" s="88"/>
      <c r="Y429" s="88"/>
      <c r="Z429" s="88"/>
      <c r="AA429" s="88"/>
      <c r="AB429" s="88"/>
      <c r="AC429" s="88"/>
      <c r="AD429" s="88"/>
      <c r="AE429" s="88"/>
    </row>
    <row r="430" spans="12:31" ht="15.75" customHeight="1" x14ac:dyDescent="0.3">
      <c r="L430" s="88"/>
      <c r="M430" s="88"/>
      <c r="N430" s="88"/>
      <c r="O430" s="88"/>
      <c r="P430" s="88"/>
      <c r="Q430" s="88"/>
      <c r="R430" s="88"/>
      <c r="S430" s="88"/>
      <c r="T430" s="88"/>
      <c r="U430" s="88"/>
      <c r="V430" s="88"/>
      <c r="W430" s="88"/>
      <c r="X430" s="88"/>
      <c r="Y430" s="88"/>
      <c r="Z430" s="88"/>
      <c r="AA430" s="88"/>
      <c r="AB430" s="88"/>
      <c r="AC430" s="88"/>
      <c r="AD430" s="88"/>
      <c r="AE430" s="88"/>
    </row>
    <row r="431" spans="12:31" ht="15.75" customHeight="1" x14ac:dyDescent="0.3">
      <c r="L431" s="88"/>
      <c r="M431" s="88"/>
      <c r="N431" s="88"/>
      <c r="O431" s="88"/>
      <c r="P431" s="88"/>
      <c r="Q431" s="88"/>
      <c r="R431" s="88"/>
      <c r="S431" s="88"/>
      <c r="T431" s="88"/>
      <c r="U431" s="88"/>
      <c r="V431" s="88"/>
      <c r="W431" s="88"/>
      <c r="X431" s="88"/>
      <c r="Y431" s="88"/>
      <c r="Z431" s="88"/>
      <c r="AA431" s="88"/>
      <c r="AB431" s="88"/>
      <c r="AC431" s="88"/>
      <c r="AD431" s="88"/>
      <c r="AE431" s="88"/>
    </row>
    <row r="432" spans="12:31" ht="15.75" customHeight="1" x14ac:dyDescent="0.3">
      <c r="L432" s="88"/>
      <c r="M432" s="88"/>
      <c r="N432" s="88"/>
      <c r="O432" s="88"/>
      <c r="P432" s="88"/>
      <c r="Q432" s="88"/>
      <c r="R432" s="88"/>
      <c r="S432" s="88"/>
      <c r="T432" s="88"/>
      <c r="U432" s="88"/>
      <c r="V432" s="88"/>
      <c r="W432" s="88"/>
      <c r="X432" s="88"/>
      <c r="Y432" s="88"/>
      <c r="Z432" s="88"/>
      <c r="AA432" s="88"/>
      <c r="AB432" s="88"/>
      <c r="AC432" s="88"/>
      <c r="AD432" s="88"/>
      <c r="AE432" s="88"/>
    </row>
    <row r="433" spans="12:31" ht="15.75" customHeight="1" x14ac:dyDescent="0.3">
      <c r="L433" s="88"/>
      <c r="M433" s="88"/>
      <c r="N433" s="88"/>
      <c r="O433" s="88"/>
      <c r="P433" s="88"/>
      <c r="Q433" s="88"/>
      <c r="R433" s="88"/>
      <c r="S433" s="88"/>
      <c r="T433" s="88"/>
      <c r="U433" s="88"/>
      <c r="V433" s="88"/>
      <c r="W433" s="88"/>
      <c r="X433" s="88"/>
      <c r="Y433" s="88"/>
      <c r="Z433" s="88"/>
      <c r="AA433" s="88"/>
      <c r="AB433" s="88"/>
      <c r="AC433" s="88"/>
      <c r="AD433" s="88"/>
      <c r="AE433" s="88"/>
    </row>
    <row r="434" spans="12:31" ht="15.75" customHeight="1" x14ac:dyDescent="0.3">
      <c r="L434" s="88"/>
      <c r="M434" s="88"/>
      <c r="N434" s="88"/>
      <c r="O434" s="88"/>
      <c r="P434" s="88"/>
      <c r="Q434" s="88"/>
      <c r="R434" s="88"/>
      <c r="S434" s="88"/>
      <c r="T434" s="88"/>
      <c r="U434" s="88"/>
      <c r="V434" s="88"/>
      <c r="W434" s="88"/>
      <c r="X434" s="88"/>
      <c r="Y434" s="88"/>
      <c r="Z434" s="88"/>
      <c r="AA434" s="88"/>
      <c r="AB434" s="88"/>
      <c r="AC434" s="88"/>
      <c r="AD434" s="88"/>
      <c r="AE434" s="88"/>
    </row>
    <row r="435" spans="12:31" ht="15.75" customHeight="1" x14ac:dyDescent="0.3">
      <c r="L435" s="88"/>
      <c r="M435" s="88"/>
      <c r="N435" s="88"/>
      <c r="O435" s="88"/>
      <c r="P435" s="88"/>
      <c r="Q435" s="88"/>
      <c r="R435" s="88"/>
      <c r="S435" s="88"/>
      <c r="T435" s="88"/>
      <c r="U435" s="88"/>
      <c r="V435" s="88"/>
      <c r="W435" s="88"/>
      <c r="X435" s="88"/>
      <c r="Y435" s="88"/>
      <c r="Z435" s="88"/>
      <c r="AA435" s="88"/>
      <c r="AB435" s="88"/>
      <c r="AC435" s="88"/>
      <c r="AD435" s="88"/>
      <c r="AE435" s="88"/>
    </row>
    <row r="436" spans="12:31" ht="15.75" customHeight="1" x14ac:dyDescent="0.3">
      <c r="L436" s="88"/>
      <c r="M436" s="88"/>
      <c r="N436" s="88"/>
      <c r="O436" s="88"/>
      <c r="P436" s="88"/>
      <c r="Q436" s="88"/>
      <c r="R436" s="88"/>
      <c r="S436" s="88"/>
      <c r="T436" s="88"/>
      <c r="U436" s="88"/>
      <c r="V436" s="88"/>
      <c r="W436" s="88"/>
      <c r="X436" s="88"/>
      <c r="Y436" s="88"/>
      <c r="Z436" s="88"/>
      <c r="AA436" s="88"/>
      <c r="AB436" s="88"/>
      <c r="AC436" s="88"/>
      <c r="AD436" s="88"/>
      <c r="AE436" s="88"/>
    </row>
    <row r="437" spans="12:31" ht="15.75" customHeight="1" x14ac:dyDescent="0.3">
      <c r="L437" s="88"/>
      <c r="M437" s="88"/>
      <c r="N437" s="88"/>
      <c r="O437" s="88"/>
      <c r="P437" s="88"/>
      <c r="Q437" s="88"/>
      <c r="R437" s="88"/>
      <c r="S437" s="88"/>
      <c r="T437" s="88"/>
      <c r="U437" s="88"/>
      <c r="V437" s="88"/>
      <c r="W437" s="88"/>
      <c r="X437" s="88"/>
      <c r="Y437" s="88"/>
      <c r="Z437" s="88"/>
      <c r="AA437" s="88"/>
      <c r="AB437" s="88"/>
      <c r="AC437" s="88"/>
      <c r="AD437" s="88"/>
      <c r="AE437" s="88"/>
    </row>
    <row r="438" spans="12:31" ht="15.75" customHeight="1" x14ac:dyDescent="0.3">
      <c r="L438" s="88"/>
      <c r="M438" s="88"/>
      <c r="N438" s="88"/>
      <c r="O438" s="88"/>
      <c r="P438" s="88"/>
      <c r="Q438" s="88"/>
      <c r="R438" s="88"/>
      <c r="S438" s="88"/>
      <c r="T438" s="88"/>
      <c r="U438" s="88"/>
      <c r="V438" s="88"/>
      <c r="W438" s="88"/>
      <c r="X438" s="88"/>
      <c r="Y438" s="88"/>
      <c r="Z438" s="88"/>
      <c r="AA438" s="88"/>
      <c r="AB438" s="88"/>
      <c r="AC438" s="88"/>
      <c r="AD438" s="88"/>
      <c r="AE438" s="88"/>
    </row>
    <row r="439" spans="12:31" ht="15.75" customHeight="1" x14ac:dyDescent="0.3">
      <c r="L439" s="88"/>
      <c r="M439" s="88"/>
      <c r="N439" s="88"/>
      <c r="O439" s="88"/>
      <c r="P439" s="88"/>
      <c r="Q439" s="88"/>
      <c r="R439" s="88"/>
      <c r="S439" s="88"/>
      <c r="T439" s="88"/>
      <c r="U439" s="88"/>
      <c r="V439" s="88"/>
      <c r="W439" s="88"/>
      <c r="X439" s="88"/>
      <c r="Y439" s="88"/>
      <c r="Z439" s="88"/>
      <c r="AA439" s="88"/>
      <c r="AB439" s="88"/>
      <c r="AC439" s="88"/>
      <c r="AD439" s="88"/>
      <c r="AE439" s="88"/>
    </row>
    <row r="440" spans="12:31" ht="15.75" customHeight="1" x14ac:dyDescent="0.3">
      <c r="L440" s="88"/>
      <c r="M440" s="88"/>
      <c r="N440" s="88"/>
      <c r="O440" s="88"/>
      <c r="P440" s="88"/>
      <c r="Q440" s="88"/>
      <c r="R440" s="88"/>
      <c r="S440" s="88"/>
      <c r="T440" s="88"/>
      <c r="U440" s="88"/>
      <c r="V440" s="88"/>
      <c r="W440" s="88"/>
      <c r="X440" s="88"/>
      <c r="Y440" s="88"/>
      <c r="Z440" s="88"/>
      <c r="AA440" s="88"/>
      <c r="AB440" s="88"/>
      <c r="AC440" s="88"/>
      <c r="AD440" s="88"/>
      <c r="AE440" s="88"/>
    </row>
    <row r="441" spans="12:31" ht="15.75" customHeight="1" x14ac:dyDescent="0.3">
      <c r="L441" s="88"/>
      <c r="M441" s="88"/>
      <c r="N441" s="88"/>
      <c r="O441" s="88"/>
      <c r="P441" s="88"/>
      <c r="Q441" s="88"/>
      <c r="R441" s="88"/>
      <c r="S441" s="88"/>
      <c r="T441" s="88"/>
      <c r="U441" s="88"/>
      <c r="V441" s="88"/>
      <c r="W441" s="88"/>
      <c r="X441" s="88"/>
      <c r="Y441" s="88"/>
      <c r="Z441" s="88"/>
      <c r="AA441" s="88"/>
      <c r="AB441" s="88"/>
      <c r="AC441" s="88"/>
      <c r="AD441" s="88"/>
      <c r="AE441" s="88"/>
    </row>
    <row r="442" spans="12:31" ht="15.75" customHeight="1" x14ac:dyDescent="0.3">
      <c r="L442" s="88"/>
      <c r="M442" s="88"/>
      <c r="N442" s="88"/>
      <c r="O442" s="88"/>
      <c r="P442" s="88"/>
      <c r="Q442" s="88"/>
      <c r="R442" s="88"/>
      <c r="S442" s="88"/>
      <c r="T442" s="88"/>
      <c r="U442" s="88"/>
      <c r="V442" s="88"/>
      <c r="W442" s="88"/>
      <c r="X442" s="88"/>
      <c r="Y442" s="88"/>
      <c r="Z442" s="88"/>
      <c r="AA442" s="88"/>
      <c r="AB442" s="88"/>
      <c r="AC442" s="88"/>
      <c r="AD442" s="88"/>
      <c r="AE442" s="88"/>
    </row>
    <row r="443" spans="12:31" ht="15.75" customHeight="1" x14ac:dyDescent="0.3">
      <c r="L443" s="88"/>
      <c r="M443" s="88"/>
      <c r="N443" s="88"/>
      <c r="O443" s="88"/>
      <c r="P443" s="88"/>
      <c r="Q443" s="88"/>
      <c r="R443" s="88"/>
      <c r="S443" s="88"/>
      <c r="T443" s="88"/>
      <c r="U443" s="88"/>
      <c r="V443" s="88"/>
      <c r="W443" s="88"/>
      <c r="X443" s="88"/>
      <c r="Y443" s="88"/>
      <c r="Z443" s="88"/>
      <c r="AA443" s="88"/>
      <c r="AB443" s="88"/>
      <c r="AC443" s="88"/>
      <c r="AD443" s="88"/>
      <c r="AE443" s="88"/>
    </row>
    <row r="444" spans="12:31" ht="15.75" customHeight="1" x14ac:dyDescent="0.3">
      <c r="L444" s="88"/>
      <c r="M444" s="88"/>
      <c r="N444" s="88"/>
      <c r="O444" s="88"/>
      <c r="P444" s="88"/>
      <c r="Q444" s="88"/>
      <c r="R444" s="88"/>
      <c r="S444" s="88"/>
      <c r="T444" s="88"/>
      <c r="U444" s="88"/>
      <c r="V444" s="88"/>
      <c r="W444" s="88"/>
      <c r="X444" s="88"/>
      <c r="Y444" s="88"/>
      <c r="Z444" s="88"/>
      <c r="AA444" s="88"/>
      <c r="AB444" s="88"/>
      <c r="AC444" s="88"/>
      <c r="AD444" s="88"/>
      <c r="AE444" s="88"/>
    </row>
    <row r="445" spans="12:31" ht="15.75" customHeight="1" x14ac:dyDescent="0.3">
      <c r="L445" s="88"/>
      <c r="M445" s="88"/>
      <c r="N445" s="88"/>
      <c r="O445" s="88"/>
      <c r="P445" s="88"/>
      <c r="Q445" s="88"/>
      <c r="R445" s="88"/>
      <c r="S445" s="88"/>
      <c r="T445" s="88"/>
      <c r="U445" s="88"/>
      <c r="V445" s="88"/>
      <c r="W445" s="88"/>
      <c r="X445" s="88"/>
      <c r="Y445" s="88"/>
      <c r="Z445" s="88"/>
      <c r="AA445" s="88"/>
      <c r="AB445" s="88"/>
      <c r="AC445" s="88"/>
      <c r="AD445" s="88"/>
      <c r="AE445" s="88"/>
    </row>
    <row r="446" spans="12:31" ht="15.75" customHeight="1" x14ac:dyDescent="0.3">
      <c r="L446" s="88"/>
      <c r="M446" s="88"/>
      <c r="N446" s="88"/>
      <c r="O446" s="88"/>
      <c r="P446" s="88"/>
      <c r="Q446" s="88"/>
      <c r="R446" s="88"/>
      <c r="S446" s="88"/>
      <c r="T446" s="88"/>
      <c r="U446" s="88"/>
      <c r="V446" s="88"/>
      <c r="W446" s="88"/>
      <c r="X446" s="88"/>
      <c r="Y446" s="88"/>
      <c r="Z446" s="88"/>
      <c r="AA446" s="88"/>
      <c r="AB446" s="88"/>
      <c r="AC446" s="88"/>
      <c r="AD446" s="88"/>
      <c r="AE446" s="88"/>
    </row>
    <row r="447" spans="12:31" ht="15.75" customHeight="1" x14ac:dyDescent="0.3">
      <c r="L447" s="88"/>
      <c r="M447" s="88"/>
      <c r="N447" s="88"/>
      <c r="O447" s="88"/>
      <c r="P447" s="88"/>
      <c r="Q447" s="88"/>
      <c r="R447" s="88"/>
      <c r="S447" s="88"/>
      <c r="T447" s="88"/>
      <c r="U447" s="88"/>
      <c r="V447" s="88"/>
      <c r="W447" s="88"/>
      <c r="X447" s="88"/>
      <c r="Y447" s="88"/>
      <c r="Z447" s="88"/>
      <c r="AA447" s="88"/>
      <c r="AB447" s="88"/>
      <c r="AC447" s="88"/>
      <c r="AD447" s="88"/>
      <c r="AE447" s="88"/>
    </row>
    <row r="448" spans="12:31" ht="15.75" customHeight="1" x14ac:dyDescent="0.3">
      <c r="L448" s="88"/>
      <c r="M448" s="88"/>
      <c r="N448" s="88"/>
      <c r="O448" s="88"/>
      <c r="P448" s="88"/>
      <c r="Q448" s="88"/>
      <c r="R448" s="88"/>
      <c r="S448" s="88"/>
      <c r="T448" s="88"/>
      <c r="U448" s="88"/>
      <c r="V448" s="88"/>
      <c r="W448" s="88"/>
      <c r="X448" s="88"/>
      <c r="Y448" s="88"/>
      <c r="Z448" s="88"/>
      <c r="AA448" s="88"/>
      <c r="AB448" s="88"/>
      <c r="AC448" s="88"/>
      <c r="AD448" s="88"/>
      <c r="AE448" s="88"/>
    </row>
    <row r="449" spans="12:31" ht="15.75" customHeight="1" x14ac:dyDescent="0.3">
      <c r="L449" s="88"/>
      <c r="M449" s="88"/>
      <c r="N449" s="88"/>
      <c r="O449" s="88"/>
      <c r="P449" s="88"/>
      <c r="Q449" s="88"/>
      <c r="R449" s="88"/>
      <c r="S449" s="88"/>
      <c r="T449" s="88"/>
      <c r="U449" s="88"/>
      <c r="V449" s="88"/>
      <c r="W449" s="88"/>
      <c r="X449" s="88"/>
      <c r="Y449" s="88"/>
      <c r="Z449" s="88"/>
      <c r="AA449" s="88"/>
      <c r="AB449" s="88"/>
      <c r="AC449" s="88"/>
      <c r="AD449" s="88"/>
      <c r="AE449" s="88"/>
    </row>
    <row r="450" spans="12:31" ht="15.75" customHeight="1" x14ac:dyDescent="0.3">
      <c r="L450" s="88"/>
      <c r="M450" s="88"/>
      <c r="N450" s="88"/>
      <c r="O450" s="88"/>
      <c r="P450" s="88"/>
      <c r="Q450" s="88"/>
      <c r="R450" s="88"/>
      <c r="S450" s="88"/>
      <c r="T450" s="88"/>
      <c r="U450" s="88"/>
      <c r="V450" s="88"/>
      <c r="W450" s="88"/>
      <c r="X450" s="88"/>
      <c r="Y450" s="88"/>
      <c r="Z450" s="88"/>
      <c r="AA450" s="88"/>
      <c r="AB450" s="88"/>
      <c r="AC450" s="88"/>
      <c r="AD450" s="88"/>
      <c r="AE450" s="88"/>
    </row>
    <row r="451" spans="12:31" ht="15.75" customHeight="1" x14ac:dyDescent="0.3">
      <c r="L451" s="88"/>
      <c r="M451" s="88"/>
      <c r="N451" s="88"/>
      <c r="O451" s="88"/>
      <c r="P451" s="88"/>
      <c r="Q451" s="88"/>
      <c r="R451" s="88"/>
      <c r="S451" s="88"/>
      <c r="T451" s="88"/>
      <c r="U451" s="88"/>
      <c r="V451" s="88"/>
      <c r="W451" s="88"/>
      <c r="X451" s="88"/>
      <c r="Y451" s="88"/>
      <c r="Z451" s="88"/>
      <c r="AA451" s="88"/>
      <c r="AB451" s="88"/>
      <c r="AC451" s="88"/>
      <c r="AD451" s="88"/>
      <c r="AE451" s="88"/>
    </row>
    <row r="452" spans="12:31" ht="15.75" customHeight="1" x14ac:dyDescent="0.3">
      <c r="L452" s="88"/>
      <c r="M452" s="88"/>
      <c r="N452" s="88"/>
      <c r="O452" s="88"/>
      <c r="P452" s="88"/>
      <c r="Q452" s="88"/>
      <c r="R452" s="88"/>
      <c r="S452" s="88"/>
      <c r="T452" s="88"/>
      <c r="U452" s="88"/>
      <c r="V452" s="88"/>
      <c r="W452" s="88"/>
      <c r="X452" s="88"/>
      <c r="Y452" s="88"/>
      <c r="Z452" s="88"/>
      <c r="AA452" s="88"/>
      <c r="AB452" s="88"/>
      <c r="AC452" s="88"/>
      <c r="AD452" s="88"/>
      <c r="AE452" s="88"/>
    </row>
    <row r="453" spans="12:31" ht="15.75" customHeight="1" x14ac:dyDescent="0.3">
      <c r="L453" s="88"/>
      <c r="M453" s="88"/>
      <c r="N453" s="88"/>
      <c r="O453" s="88"/>
      <c r="P453" s="88"/>
      <c r="Q453" s="88"/>
      <c r="R453" s="88"/>
      <c r="S453" s="88"/>
      <c r="T453" s="88"/>
      <c r="U453" s="88"/>
      <c r="V453" s="88"/>
      <c r="W453" s="88"/>
      <c r="X453" s="88"/>
      <c r="Y453" s="88"/>
      <c r="Z453" s="88"/>
      <c r="AA453" s="88"/>
      <c r="AB453" s="88"/>
      <c r="AC453" s="88"/>
      <c r="AD453" s="88"/>
      <c r="AE453" s="88"/>
    </row>
    <row r="454" spans="12:31" ht="15.75" customHeight="1" x14ac:dyDescent="0.3">
      <c r="L454" s="88"/>
      <c r="M454" s="88"/>
      <c r="N454" s="88"/>
      <c r="O454" s="88"/>
      <c r="P454" s="88"/>
      <c r="Q454" s="88"/>
      <c r="R454" s="88"/>
      <c r="S454" s="88"/>
      <c r="T454" s="88"/>
      <c r="U454" s="88"/>
      <c r="V454" s="88"/>
      <c r="W454" s="88"/>
      <c r="X454" s="88"/>
      <c r="Y454" s="88"/>
      <c r="Z454" s="88"/>
      <c r="AA454" s="88"/>
      <c r="AB454" s="88"/>
      <c r="AC454" s="88"/>
      <c r="AD454" s="88"/>
      <c r="AE454" s="88"/>
    </row>
    <row r="455" spans="12:31" ht="15.75" customHeight="1" x14ac:dyDescent="0.3">
      <c r="L455" s="88"/>
      <c r="M455" s="88"/>
      <c r="N455" s="88"/>
      <c r="O455" s="88"/>
      <c r="P455" s="88"/>
      <c r="Q455" s="88"/>
      <c r="R455" s="88"/>
      <c r="S455" s="88"/>
      <c r="T455" s="88"/>
      <c r="U455" s="88"/>
      <c r="V455" s="88"/>
      <c r="W455" s="88"/>
      <c r="X455" s="88"/>
      <c r="Y455" s="88"/>
      <c r="Z455" s="88"/>
      <c r="AA455" s="88"/>
      <c r="AB455" s="88"/>
      <c r="AC455" s="88"/>
      <c r="AD455" s="88"/>
      <c r="AE455" s="88"/>
    </row>
    <row r="456" spans="12:31" ht="15.75" customHeight="1" x14ac:dyDescent="0.3">
      <c r="L456" s="88"/>
      <c r="M456" s="88"/>
      <c r="N456" s="88"/>
      <c r="O456" s="88"/>
      <c r="P456" s="88"/>
      <c r="Q456" s="88"/>
      <c r="R456" s="88"/>
      <c r="S456" s="88"/>
      <c r="T456" s="88"/>
      <c r="U456" s="88"/>
      <c r="V456" s="88"/>
      <c r="W456" s="88"/>
      <c r="X456" s="88"/>
      <c r="Y456" s="88"/>
      <c r="Z456" s="88"/>
      <c r="AA456" s="88"/>
      <c r="AB456" s="88"/>
      <c r="AC456" s="88"/>
      <c r="AD456" s="88"/>
      <c r="AE456" s="88"/>
    </row>
    <row r="457" spans="12:31" ht="15.75" customHeight="1" x14ac:dyDescent="0.3">
      <c r="L457" s="88"/>
      <c r="M457" s="88"/>
      <c r="N457" s="88"/>
      <c r="O457" s="88"/>
      <c r="P457" s="88"/>
      <c r="Q457" s="88"/>
      <c r="R457" s="88"/>
      <c r="S457" s="88"/>
      <c r="T457" s="88"/>
      <c r="U457" s="88"/>
      <c r="V457" s="88"/>
      <c r="W457" s="88"/>
      <c r="X457" s="88"/>
      <c r="Y457" s="88"/>
      <c r="Z457" s="88"/>
      <c r="AA457" s="88"/>
      <c r="AB457" s="88"/>
      <c r="AC457" s="88"/>
      <c r="AD457" s="88"/>
      <c r="AE457" s="88"/>
    </row>
    <row r="458" spans="12:31" ht="15.75" customHeight="1" x14ac:dyDescent="0.3">
      <c r="L458" s="88"/>
      <c r="M458" s="88"/>
      <c r="N458" s="88"/>
      <c r="O458" s="88"/>
      <c r="P458" s="88"/>
      <c r="Q458" s="88"/>
      <c r="R458" s="88"/>
      <c r="S458" s="88"/>
      <c r="T458" s="88"/>
      <c r="U458" s="88"/>
      <c r="V458" s="88"/>
      <c r="W458" s="88"/>
      <c r="X458" s="88"/>
      <c r="Y458" s="88"/>
      <c r="Z458" s="88"/>
      <c r="AA458" s="88"/>
      <c r="AB458" s="88"/>
      <c r="AC458" s="88"/>
      <c r="AD458" s="88"/>
      <c r="AE458" s="88"/>
    </row>
    <row r="459" spans="12:31" ht="15.75" customHeight="1" x14ac:dyDescent="0.3">
      <c r="L459" s="88"/>
      <c r="M459" s="88"/>
      <c r="N459" s="88"/>
      <c r="O459" s="88"/>
      <c r="P459" s="88"/>
      <c r="Q459" s="88"/>
      <c r="R459" s="88"/>
      <c r="S459" s="88"/>
      <c r="T459" s="88"/>
      <c r="U459" s="88"/>
      <c r="V459" s="88"/>
      <c r="W459" s="88"/>
      <c r="X459" s="88"/>
      <c r="Y459" s="88"/>
      <c r="Z459" s="88"/>
      <c r="AA459" s="88"/>
      <c r="AB459" s="88"/>
      <c r="AC459" s="88"/>
      <c r="AD459" s="88"/>
      <c r="AE459" s="88"/>
    </row>
    <row r="460" spans="12:31" ht="15.75" customHeight="1" x14ac:dyDescent="0.3">
      <c r="L460" s="88"/>
      <c r="M460" s="88"/>
      <c r="N460" s="88"/>
      <c r="O460" s="88"/>
      <c r="P460" s="88"/>
      <c r="Q460" s="88"/>
      <c r="R460" s="88"/>
      <c r="S460" s="88"/>
      <c r="T460" s="88"/>
      <c r="U460" s="88"/>
      <c r="V460" s="88"/>
      <c r="W460" s="88"/>
      <c r="X460" s="88"/>
      <c r="Y460" s="88"/>
      <c r="Z460" s="88"/>
      <c r="AA460" s="88"/>
      <c r="AB460" s="88"/>
      <c r="AC460" s="88"/>
      <c r="AD460" s="88"/>
      <c r="AE460" s="88"/>
    </row>
    <row r="461" spans="12:31" ht="15.75" customHeight="1" x14ac:dyDescent="0.3">
      <c r="L461" s="88"/>
      <c r="M461" s="88"/>
      <c r="N461" s="88"/>
      <c r="O461" s="88"/>
      <c r="P461" s="88"/>
      <c r="Q461" s="88"/>
      <c r="R461" s="88"/>
      <c r="S461" s="88"/>
      <c r="T461" s="88"/>
      <c r="U461" s="88"/>
      <c r="V461" s="88"/>
      <c r="W461" s="88"/>
      <c r="X461" s="88"/>
      <c r="Y461" s="88"/>
      <c r="Z461" s="88"/>
      <c r="AA461" s="88"/>
      <c r="AB461" s="88"/>
      <c r="AC461" s="88"/>
      <c r="AD461" s="88"/>
      <c r="AE461" s="88"/>
    </row>
    <row r="462" spans="12:31" ht="15.75" customHeight="1" x14ac:dyDescent="0.3">
      <c r="L462" s="88"/>
      <c r="M462" s="88"/>
      <c r="N462" s="88"/>
      <c r="O462" s="88"/>
      <c r="P462" s="88"/>
      <c r="Q462" s="88"/>
      <c r="R462" s="88"/>
      <c r="S462" s="88"/>
      <c r="T462" s="88"/>
      <c r="U462" s="88"/>
      <c r="V462" s="88"/>
      <c r="W462" s="88"/>
      <c r="X462" s="88"/>
      <c r="Y462" s="88"/>
      <c r="Z462" s="88"/>
      <c r="AA462" s="88"/>
      <c r="AB462" s="88"/>
      <c r="AC462" s="88"/>
      <c r="AD462" s="88"/>
      <c r="AE462" s="88"/>
    </row>
    <row r="463" spans="12:31" ht="15.75" customHeight="1" x14ac:dyDescent="0.3">
      <c r="L463" s="88"/>
      <c r="M463" s="88"/>
      <c r="N463" s="88"/>
      <c r="O463" s="88"/>
      <c r="P463" s="88"/>
      <c r="Q463" s="88"/>
      <c r="R463" s="88"/>
      <c r="S463" s="88"/>
      <c r="T463" s="88"/>
      <c r="U463" s="88"/>
      <c r="V463" s="88"/>
      <c r="W463" s="88"/>
      <c r="X463" s="88"/>
      <c r="Y463" s="88"/>
      <c r="Z463" s="88"/>
      <c r="AA463" s="88"/>
      <c r="AB463" s="88"/>
      <c r="AC463" s="88"/>
      <c r="AD463" s="88"/>
      <c r="AE463" s="88"/>
    </row>
    <row r="464" spans="12:31" ht="15.75" customHeight="1" x14ac:dyDescent="0.3">
      <c r="L464" s="88"/>
      <c r="M464" s="88"/>
      <c r="N464" s="88"/>
      <c r="O464" s="88"/>
      <c r="P464" s="88"/>
      <c r="Q464" s="88"/>
      <c r="R464" s="88"/>
      <c r="S464" s="88"/>
      <c r="T464" s="88"/>
      <c r="U464" s="88"/>
      <c r="V464" s="88"/>
      <c r="W464" s="88"/>
      <c r="X464" s="88"/>
      <c r="Y464" s="88"/>
      <c r="Z464" s="88"/>
      <c r="AA464" s="88"/>
      <c r="AB464" s="88"/>
      <c r="AC464" s="88"/>
      <c r="AD464" s="88"/>
      <c r="AE464" s="88"/>
    </row>
    <row r="465" spans="12:31" ht="15.75" customHeight="1" x14ac:dyDescent="0.3">
      <c r="L465" s="88"/>
      <c r="M465" s="88"/>
      <c r="N465" s="88"/>
      <c r="O465" s="88"/>
      <c r="P465" s="88"/>
      <c r="Q465" s="88"/>
      <c r="R465" s="88"/>
      <c r="S465" s="88"/>
      <c r="T465" s="88"/>
      <c r="U465" s="88"/>
      <c r="V465" s="88"/>
      <c r="W465" s="88"/>
      <c r="X465" s="88"/>
      <c r="Y465" s="88"/>
      <c r="Z465" s="88"/>
      <c r="AA465" s="88"/>
      <c r="AB465" s="88"/>
      <c r="AC465" s="88"/>
      <c r="AD465" s="88"/>
      <c r="AE465" s="88"/>
    </row>
    <row r="466" spans="12:31" ht="15.75" customHeight="1" x14ac:dyDescent="0.3">
      <c r="L466" s="88"/>
      <c r="M466" s="88"/>
      <c r="N466" s="88"/>
      <c r="O466" s="88"/>
      <c r="P466" s="88"/>
      <c r="Q466" s="88"/>
      <c r="R466" s="88"/>
      <c r="S466" s="88"/>
      <c r="T466" s="88"/>
      <c r="U466" s="88"/>
      <c r="V466" s="88"/>
      <c r="W466" s="88"/>
      <c r="X466" s="88"/>
      <c r="Y466" s="88"/>
      <c r="Z466" s="88"/>
      <c r="AA466" s="88"/>
      <c r="AB466" s="88"/>
      <c r="AC466" s="88"/>
      <c r="AD466" s="88"/>
      <c r="AE466" s="88"/>
    </row>
    <row r="467" spans="12:31" ht="15.75" customHeight="1" x14ac:dyDescent="0.3">
      <c r="L467" s="88"/>
      <c r="M467" s="88"/>
      <c r="N467" s="88"/>
      <c r="O467" s="88"/>
      <c r="P467" s="88"/>
      <c r="Q467" s="88"/>
      <c r="R467" s="88"/>
      <c r="S467" s="88"/>
      <c r="T467" s="88"/>
      <c r="U467" s="88"/>
      <c r="V467" s="88"/>
      <c r="W467" s="88"/>
      <c r="X467" s="88"/>
      <c r="Y467" s="88"/>
      <c r="Z467" s="88"/>
      <c r="AA467" s="88"/>
      <c r="AB467" s="88"/>
      <c r="AC467" s="88"/>
      <c r="AD467" s="88"/>
      <c r="AE467" s="88"/>
    </row>
    <row r="468" spans="12:31" ht="15.75" customHeight="1" x14ac:dyDescent="0.3">
      <c r="L468" s="88"/>
      <c r="M468" s="88"/>
      <c r="N468" s="88"/>
      <c r="O468" s="88"/>
      <c r="P468" s="88"/>
      <c r="Q468" s="88"/>
      <c r="R468" s="88"/>
      <c r="S468" s="88"/>
      <c r="T468" s="88"/>
      <c r="U468" s="88"/>
      <c r="V468" s="88"/>
      <c r="W468" s="88"/>
      <c r="X468" s="88"/>
      <c r="Y468" s="88"/>
      <c r="Z468" s="88"/>
      <c r="AA468" s="88"/>
      <c r="AB468" s="88"/>
      <c r="AC468" s="88"/>
      <c r="AD468" s="88"/>
      <c r="AE468" s="88"/>
    </row>
    <row r="469" spans="12:31" ht="15.75" customHeight="1" x14ac:dyDescent="0.3">
      <c r="L469" s="88"/>
      <c r="M469" s="88"/>
      <c r="N469" s="88"/>
      <c r="O469" s="88"/>
      <c r="P469" s="88"/>
      <c r="Q469" s="88"/>
      <c r="R469" s="88"/>
      <c r="S469" s="88"/>
      <c r="T469" s="88"/>
      <c r="U469" s="88"/>
      <c r="V469" s="88"/>
      <c r="W469" s="88"/>
      <c r="X469" s="88"/>
      <c r="Y469" s="88"/>
      <c r="Z469" s="88"/>
      <c r="AA469" s="88"/>
      <c r="AB469" s="88"/>
      <c r="AC469" s="88"/>
      <c r="AD469" s="88"/>
      <c r="AE469" s="88"/>
    </row>
    <row r="470" spans="12:31" ht="15.75" customHeight="1" x14ac:dyDescent="0.3">
      <c r="L470" s="88"/>
      <c r="M470" s="88"/>
      <c r="N470" s="88"/>
      <c r="O470" s="88"/>
      <c r="P470" s="88"/>
      <c r="Q470" s="88"/>
      <c r="R470" s="88"/>
      <c r="S470" s="88"/>
      <c r="T470" s="88"/>
      <c r="U470" s="88"/>
      <c r="V470" s="88"/>
      <c r="W470" s="88"/>
      <c r="X470" s="88"/>
      <c r="Y470" s="88"/>
      <c r="Z470" s="88"/>
      <c r="AA470" s="88"/>
      <c r="AB470" s="88"/>
      <c r="AC470" s="88"/>
      <c r="AD470" s="88"/>
      <c r="AE470" s="88"/>
    </row>
    <row r="471" spans="12:31" ht="15.75" customHeight="1" x14ac:dyDescent="0.3">
      <c r="L471" s="88"/>
      <c r="M471" s="88"/>
      <c r="N471" s="88"/>
      <c r="O471" s="88"/>
      <c r="P471" s="88"/>
      <c r="Q471" s="88"/>
      <c r="R471" s="88"/>
      <c r="S471" s="88"/>
      <c r="T471" s="88"/>
      <c r="U471" s="88"/>
      <c r="V471" s="88"/>
      <c r="W471" s="88"/>
      <c r="X471" s="88"/>
      <c r="Y471" s="88"/>
      <c r="Z471" s="88"/>
      <c r="AA471" s="88"/>
      <c r="AB471" s="88"/>
      <c r="AC471" s="88"/>
      <c r="AD471" s="88"/>
      <c r="AE471" s="88"/>
    </row>
    <row r="472" spans="12:31" ht="15.75" customHeight="1" x14ac:dyDescent="0.3">
      <c r="L472" s="88"/>
      <c r="M472" s="88"/>
      <c r="N472" s="88"/>
      <c r="O472" s="88"/>
      <c r="P472" s="88"/>
      <c r="Q472" s="88"/>
      <c r="R472" s="88"/>
      <c r="S472" s="88"/>
      <c r="T472" s="88"/>
      <c r="U472" s="88"/>
      <c r="V472" s="88"/>
      <c r="W472" s="88"/>
      <c r="X472" s="88"/>
      <c r="Y472" s="88"/>
      <c r="Z472" s="88"/>
      <c r="AA472" s="88"/>
      <c r="AB472" s="88"/>
      <c r="AC472" s="88"/>
      <c r="AD472" s="88"/>
      <c r="AE472" s="88"/>
    </row>
    <row r="473" spans="12:31" ht="15.75" customHeight="1" x14ac:dyDescent="0.3">
      <c r="L473" s="88"/>
      <c r="M473" s="88"/>
      <c r="N473" s="88"/>
      <c r="O473" s="88"/>
      <c r="P473" s="88"/>
      <c r="Q473" s="88"/>
      <c r="R473" s="88"/>
      <c r="S473" s="88"/>
      <c r="T473" s="88"/>
      <c r="U473" s="88"/>
      <c r="V473" s="88"/>
      <c r="W473" s="88"/>
      <c r="X473" s="88"/>
      <c r="Y473" s="88"/>
      <c r="Z473" s="88"/>
      <c r="AA473" s="88"/>
      <c r="AB473" s="88"/>
      <c r="AC473" s="88"/>
      <c r="AD473" s="88"/>
      <c r="AE473" s="88"/>
    </row>
    <row r="474" spans="12:31" ht="15.75" customHeight="1" x14ac:dyDescent="0.3">
      <c r="L474" s="88"/>
      <c r="M474" s="88"/>
      <c r="N474" s="88"/>
      <c r="O474" s="88"/>
      <c r="P474" s="88"/>
      <c r="Q474" s="88"/>
      <c r="R474" s="88"/>
      <c r="S474" s="88"/>
      <c r="T474" s="88"/>
      <c r="U474" s="88"/>
      <c r="V474" s="88"/>
      <c r="W474" s="88"/>
      <c r="X474" s="88"/>
      <c r="Y474" s="88"/>
      <c r="Z474" s="88"/>
      <c r="AA474" s="88"/>
      <c r="AB474" s="88"/>
      <c r="AC474" s="88"/>
      <c r="AD474" s="88"/>
      <c r="AE474" s="88"/>
    </row>
    <row r="475" spans="12:31" ht="15.75" customHeight="1" x14ac:dyDescent="0.3">
      <c r="L475" s="88"/>
      <c r="M475" s="88"/>
      <c r="N475" s="88"/>
      <c r="O475" s="88"/>
      <c r="P475" s="88"/>
      <c r="Q475" s="88"/>
      <c r="R475" s="88"/>
      <c r="S475" s="88"/>
      <c r="T475" s="88"/>
      <c r="U475" s="88"/>
      <c r="V475" s="88"/>
      <c r="W475" s="88"/>
      <c r="X475" s="88"/>
      <c r="Y475" s="88"/>
      <c r="Z475" s="88"/>
      <c r="AA475" s="88"/>
      <c r="AB475" s="88"/>
      <c r="AC475" s="88"/>
      <c r="AD475" s="88"/>
      <c r="AE475" s="88"/>
    </row>
    <row r="476" spans="12:31" ht="15.75" customHeight="1" x14ac:dyDescent="0.3">
      <c r="L476" s="88"/>
      <c r="M476" s="88"/>
      <c r="N476" s="88"/>
      <c r="O476" s="88"/>
      <c r="P476" s="88"/>
      <c r="Q476" s="88"/>
      <c r="R476" s="88"/>
      <c r="S476" s="88"/>
      <c r="T476" s="88"/>
      <c r="U476" s="88"/>
      <c r="V476" s="88"/>
      <c r="W476" s="88"/>
      <c r="X476" s="88"/>
      <c r="Y476" s="88"/>
      <c r="Z476" s="88"/>
      <c r="AA476" s="88"/>
      <c r="AB476" s="88"/>
      <c r="AC476" s="88"/>
      <c r="AD476" s="88"/>
      <c r="AE476" s="88"/>
    </row>
    <row r="477" spans="12:31" ht="15.75" customHeight="1" x14ac:dyDescent="0.3">
      <c r="L477" s="88"/>
      <c r="M477" s="88"/>
      <c r="N477" s="88"/>
      <c r="O477" s="88"/>
      <c r="P477" s="88"/>
      <c r="Q477" s="88"/>
      <c r="R477" s="88"/>
      <c r="S477" s="88"/>
      <c r="T477" s="88"/>
      <c r="U477" s="88"/>
      <c r="V477" s="88"/>
      <c r="W477" s="88"/>
      <c r="X477" s="88"/>
      <c r="Y477" s="88"/>
      <c r="Z477" s="88"/>
      <c r="AA477" s="88"/>
      <c r="AB477" s="88"/>
      <c r="AC477" s="88"/>
      <c r="AD477" s="88"/>
      <c r="AE477" s="88"/>
    </row>
    <row r="478" spans="12:31" ht="15.75" customHeight="1" x14ac:dyDescent="0.3">
      <c r="L478" s="88"/>
      <c r="M478" s="88"/>
      <c r="N478" s="88"/>
      <c r="O478" s="88"/>
      <c r="P478" s="88"/>
      <c r="Q478" s="88"/>
      <c r="R478" s="88"/>
      <c r="S478" s="88"/>
      <c r="T478" s="88"/>
      <c r="U478" s="88"/>
      <c r="V478" s="88"/>
      <c r="W478" s="88"/>
      <c r="X478" s="88"/>
      <c r="Y478" s="88"/>
      <c r="Z478" s="88"/>
      <c r="AA478" s="88"/>
      <c r="AB478" s="88"/>
      <c r="AC478" s="88"/>
      <c r="AD478" s="88"/>
      <c r="AE478" s="88"/>
    </row>
    <row r="479" spans="12:31" ht="15.75" customHeight="1" x14ac:dyDescent="0.3">
      <c r="L479" s="88"/>
      <c r="M479" s="88"/>
      <c r="N479" s="88"/>
      <c r="O479" s="88"/>
      <c r="P479" s="88"/>
      <c r="Q479" s="88"/>
      <c r="R479" s="88"/>
      <c r="S479" s="88"/>
      <c r="T479" s="88"/>
      <c r="U479" s="88"/>
      <c r="V479" s="88"/>
      <c r="W479" s="88"/>
      <c r="X479" s="88"/>
      <c r="Y479" s="88"/>
      <c r="Z479" s="88"/>
      <c r="AA479" s="88"/>
      <c r="AB479" s="88"/>
      <c r="AC479" s="88"/>
      <c r="AD479" s="88"/>
      <c r="AE479" s="88"/>
    </row>
    <row r="480" spans="12:31" ht="15.75" customHeight="1" x14ac:dyDescent="0.3">
      <c r="L480" s="88"/>
      <c r="M480" s="88"/>
      <c r="N480" s="88"/>
      <c r="O480" s="88"/>
      <c r="P480" s="88"/>
      <c r="Q480" s="88"/>
      <c r="R480" s="88"/>
      <c r="S480" s="88"/>
      <c r="T480" s="88"/>
      <c r="U480" s="88"/>
      <c r="V480" s="88"/>
      <c r="W480" s="88"/>
      <c r="X480" s="88"/>
      <c r="Y480" s="88"/>
      <c r="Z480" s="88"/>
      <c r="AA480" s="88"/>
      <c r="AB480" s="88"/>
      <c r="AC480" s="88"/>
      <c r="AD480" s="88"/>
      <c r="AE480" s="88"/>
    </row>
    <row r="481" spans="12:31" ht="15.75" customHeight="1" x14ac:dyDescent="0.3">
      <c r="L481" s="88"/>
      <c r="M481" s="88"/>
      <c r="N481" s="88"/>
      <c r="O481" s="88"/>
      <c r="P481" s="88"/>
      <c r="Q481" s="88"/>
      <c r="R481" s="88"/>
      <c r="S481" s="88"/>
      <c r="T481" s="88"/>
      <c r="U481" s="88"/>
      <c r="V481" s="88"/>
      <c r="W481" s="88"/>
      <c r="X481" s="88"/>
      <c r="Y481" s="88"/>
      <c r="Z481" s="88"/>
      <c r="AA481" s="88"/>
      <c r="AB481" s="88"/>
      <c r="AC481" s="88"/>
      <c r="AD481" s="88"/>
      <c r="AE481" s="88"/>
    </row>
    <row r="482" spans="12:31" ht="15.75" customHeight="1" x14ac:dyDescent="0.3">
      <c r="L482" s="88"/>
      <c r="M482" s="88"/>
      <c r="N482" s="88"/>
      <c r="O482" s="88"/>
      <c r="P482" s="88"/>
      <c r="Q482" s="88"/>
      <c r="R482" s="88"/>
      <c r="S482" s="88"/>
      <c r="T482" s="88"/>
      <c r="U482" s="88"/>
      <c r="V482" s="88"/>
      <c r="W482" s="88"/>
      <c r="X482" s="88"/>
      <c r="Y482" s="88"/>
      <c r="Z482" s="88"/>
      <c r="AA482" s="88"/>
      <c r="AB482" s="88"/>
      <c r="AC482" s="88"/>
      <c r="AD482" s="88"/>
      <c r="AE482" s="88"/>
    </row>
    <row r="483" spans="12:31" ht="15.75" customHeight="1" x14ac:dyDescent="0.3">
      <c r="L483" s="88"/>
      <c r="M483" s="88"/>
      <c r="N483" s="88"/>
      <c r="O483" s="88"/>
      <c r="P483" s="88"/>
      <c r="Q483" s="88"/>
      <c r="R483" s="88"/>
      <c r="S483" s="88"/>
      <c r="T483" s="88"/>
      <c r="U483" s="88"/>
      <c r="V483" s="88"/>
      <c r="W483" s="88"/>
      <c r="X483" s="88"/>
      <c r="Y483" s="88"/>
      <c r="Z483" s="88"/>
      <c r="AA483" s="88"/>
      <c r="AB483" s="88"/>
      <c r="AC483" s="88"/>
      <c r="AD483" s="88"/>
      <c r="AE483" s="88"/>
    </row>
    <row r="484" spans="12:31" ht="15.75" customHeight="1" x14ac:dyDescent="0.3">
      <c r="L484" s="88"/>
      <c r="M484" s="88"/>
      <c r="N484" s="88"/>
      <c r="O484" s="88"/>
      <c r="P484" s="88"/>
      <c r="Q484" s="88"/>
      <c r="R484" s="88"/>
      <c r="S484" s="88"/>
      <c r="T484" s="88"/>
      <c r="U484" s="88"/>
      <c r="V484" s="88"/>
      <c r="W484" s="88"/>
      <c r="X484" s="88"/>
      <c r="Y484" s="88"/>
      <c r="Z484" s="88"/>
      <c r="AA484" s="88"/>
      <c r="AB484" s="88"/>
      <c r="AC484" s="88"/>
      <c r="AD484" s="88"/>
      <c r="AE484" s="88"/>
    </row>
    <row r="485" spans="12:31" ht="15.75" customHeight="1" x14ac:dyDescent="0.3">
      <c r="L485" s="88"/>
      <c r="M485" s="88"/>
      <c r="N485" s="88"/>
      <c r="O485" s="88"/>
      <c r="P485" s="88"/>
      <c r="Q485" s="88"/>
      <c r="R485" s="88"/>
      <c r="S485" s="88"/>
      <c r="T485" s="88"/>
      <c r="U485" s="88"/>
      <c r="V485" s="88"/>
      <c r="W485" s="88"/>
      <c r="X485" s="88"/>
      <c r="Y485" s="88"/>
      <c r="Z485" s="88"/>
      <c r="AA485" s="88"/>
      <c r="AB485" s="88"/>
      <c r="AC485" s="88"/>
      <c r="AD485" s="88"/>
      <c r="AE485" s="88"/>
    </row>
    <row r="486" spans="12:31" ht="15.75" customHeight="1" x14ac:dyDescent="0.3">
      <c r="L486" s="88"/>
      <c r="M486" s="88"/>
      <c r="N486" s="88"/>
      <c r="O486" s="88"/>
      <c r="P486" s="88"/>
      <c r="Q486" s="88"/>
      <c r="R486" s="88"/>
      <c r="S486" s="88"/>
      <c r="T486" s="88"/>
      <c r="U486" s="88"/>
      <c r="V486" s="88"/>
      <c r="W486" s="88"/>
      <c r="X486" s="88"/>
      <c r="Y486" s="88"/>
      <c r="Z486" s="88"/>
      <c r="AA486" s="88"/>
      <c r="AB486" s="88"/>
      <c r="AC486" s="88"/>
      <c r="AD486" s="88"/>
      <c r="AE486" s="88"/>
    </row>
    <row r="487" spans="12:31" ht="15.75" customHeight="1" x14ac:dyDescent="0.3">
      <c r="L487" s="88"/>
      <c r="M487" s="88"/>
      <c r="N487" s="88"/>
      <c r="O487" s="88"/>
      <c r="P487" s="88"/>
      <c r="Q487" s="88"/>
      <c r="R487" s="88"/>
      <c r="S487" s="88"/>
      <c r="T487" s="88"/>
      <c r="U487" s="88"/>
      <c r="V487" s="88"/>
      <c r="W487" s="88"/>
      <c r="X487" s="88"/>
      <c r="Y487" s="88"/>
      <c r="Z487" s="88"/>
      <c r="AA487" s="88"/>
      <c r="AB487" s="88"/>
      <c r="AC487" s="88"/>
      <c r="AD487" s="88"/>
      <c r="AE487" s="88"/>
    </row>
    <row r="488" spans="12:31" ht="15.75" customHeight="1" x14ac:dyDescent="0.3">
      <c r="L488" s="88"/>
      <c r="M488" s="88"/>
      <c r="N488" s="88"/>
      <c r="O488" s="88"/>
      <c r="P488" s="88"/>
      <c r="Q488" s="88"/>
      <c r="R488" s="88"/>
      <c r="S488" s="88"/>
      <c r="T488" s="88"/>
      <c r="U488" s="88"/>
      <c r="V488" s="88"/>
      <c r="W488" s="88"/>
      <c r="X488" s="88"/>
      <c r="Y488" s="88"/>
      <c r="Z488" s="88"/>
      <c r="AA488" s="88"/>
      <c r="AB488" s="88"/>
      <c r="AC488" s="88"/>
      <c r="AD488" s="88"/>
      <c r="AE488" s="88"/>
    </row>
    <row r="489" spans="12:31" ht="15.75" customHeight="1" x14ac:dyDescent="0.3">
      <c r="L489" s="88"/>
      <c r="M489" s="88"/>
      <c r="N489" s="88"/>
      <c r="O489" s="88"/>
      <c r="P489" s="88"/>
      <c r="Q489" s="88"/>
      <c r="R489" s="88"/>
      <c r="S489" s="88"/>
      <c r="T489" s="88"/>
      <c r="U489" s="88"/>
      <c r="V489" s="88"/>
      <c r="W489" s="88"/>
      <c r="X489" s="88"/>
      <c r="Y489" s="88"/>
      <c r="Z489" s="88"/>
      <c r="AA489" s="88"/>
      <c r="AB489" s="88"/>
      <c r="AC489" s="88"/>
      <c r="AD489" s="88"/>
      <c r="AE489" s="88"/>
    </row>
    <row r="490" spans="12:31" ht="15.75" customHeight="1" x14ac:dyDescent="0.3">
      <c r="L490" s="88"/>
      <c r="M490" s="88"/>
      <c r="N490" s="88"/>
      <c r="O490" s="88"/>
      <c r="P490" s="88"/>
      <c r="Q490" s="88"/>
      <c r="R490" s="88"/>
      <c r="S490" s="88"/>
      <c r="T490" s="88"/>
      <c r="U490" s="88"/>
      <c r="V490" s="88"/>
      <c r="W490" s="88"/>
      <c r="X490" s="88"/>
      <c r="Y490" s="88"/>
      <c r="Z490" s="88"/>
      <c r="AA490" s="88"/>
      <c r="AB490" s="88"/>
      <c r="AC490" s="88"/>
      <c r="AD490" s="88"/>
      <c r="AE490" s="88"/>
    </row>
    <row r="491" spans="12:31" ht="15.75" customHeight="1" x14ac:dyDescent="0.3">
      <c r="L491" s="88"/>
      <c r="M491" s="88"/>
      <c r="N491" s="88"/>
      <c r="O491" s="88"/>
      <c r="P491" s="88"/>
      <c r="Q491" s="88"/>
      <c r="R491" s="88"/>
      <c r="S491" s="88"/>
      <c r="T491" s="88"/>
      <c r="U491" s="88"/>
      <c r="V491" s="88"/>
      <c r="W491" s="88"/>
      <c r="X491" s="88"/>
      <c r="Y491" s="88"/>
      <c r="Z491" s="88"/>
      <c r="AA491" s="88"/>
      <c r="AB491" s="88"/>
      <c r="AC491" s="88"/>
      <c r="AD491" s="88"/>
      <c r="AE491" s="88"/>
    </row>
    <row r="492" spans="12:31" ht="15.75" customHeight="1" x14ac:dyDescent="0.3">
      <c r="L492" s="88"/>
      <c r="M492" s="88"/>
      <c r="N492" s="88"/>
      <c r="O492" s="88"/>
      <c r="P492" s="88"/>
      <c r="Q492" s="88"/>
      <c r="R492" s="88"/>
      <c r="S492" s="88"/>
      <c r="T492" s="88"/>
      <c r="U492" s="88"/>
      <c r="V492" s="88"/>
      <c r="W492" s="88"/>
      <c r="X492" s="88"/>
      <c r="Y492" s="88"/>
      <c r="Z492" s="88"/>
      <c r="AA492" s="88"/>
      <c r="AB492" s="88"/>
      <c r="AC492" s="88"/>
      <c r="AD492" s="88"/>
      <c r="AE492" s="88"/>
    </row>
    <row r="493" spans="12:31" ht="15.75" customHeight="1" x14ac:dyDescent="0.3">
      <c r="L493" s="88"/>
      <c r="M493" s="88"/>
      <c r="N493" s="88"/>
      <c r="O493" s="88"/>
      <c r="P493" s="88"/>
      <c r="Q493" s="88"/>
      <c r="R493" s="88"/>
      <c r="S493" s="88"/>
      <c r="T493" s="88"/>
      <c r="U493" s="88"/>
      <c r="V493" s="88"/>
      <c r="W493" s="88"/>
      <c r="X493" s="88"/>
      <c r="Y493" s="88"/>
      <c r="Z493" s="88"/>
      <c r="AA493" s="88"/>
      <c r="AB493" s="88"/>
      <c r="AC493" s="88"/>
      <c r="AD493" s="88"/>
      <c r="AE493" s="88"/>
    </row>
    <row r="494" spans="12:31" ht="15.75" customHeight="1" x14ac:dyDescent="0.3">
      <c r="L494" s="88"/>
      <c r="M494" s="88"/>
      <c r="N494" s="88"/>
      <c r="O494" s="88"/>
      <c r="P494" s="88"/>
      <c r="Q494" s="88"/>
      <c r="R494" s="88"/>
      <c r="S494" s="88"/>
      <c r="T494" s="88"/>
      <c r="U494" s="88"/>
      <c r="V494" s="88"/>
      <c r="W494" s="88"/>
      <c r="X494" s="88"/>
      <c r="Y494" s="88"/>
      <c r="Z494" s="88"/>
      <c r="AA494" s="88"/>
      <c r="AB494" s="88"/>
      <c r="AC494" s="88"/>
      <c r="AD494" s="88"/>
      <c r="AE494" s="88"/>
    </row>
    <row r="495" spans="12:31" ht="15.75" customHeight="1" x14ac:dyDescent="0.3">
      <c r="L495" s="88"/>
      <c r="M495" s="88"/>
      <c r="N495" s="88"/>
      <c r="O495" s="88"/>
      <c r="P495" s="88"/>
      <c r="Q495" s="88"/>
      <c r="R495" s="88"/>
      <c r="S495" s="88"/>
      <c r="T495" s="88"/>
      <c r="U495" s="88"/>
      <c r="V495" s="88"/>
      <c r="W495" s="88"/>
      <c r="X495" s="88"/>
      <c r="Y495" s="88"/>
      <c r="Z495" s="88"/>
      <c r="AA495" s="88"/>
      <c r="AB495" s="88"/>
      <c r="AC495" s="88"/>
      <c r="AD495" s="88"/>
      <c r="AE495" s="88"/>
    </row>
    <row r="496" spans="12:31" ht="15.75" customHeight="1" x14ac:dyDescent="0.3">
      <c r="L496" s="88"/>
      <c r="M496" s="88"/>
      <c r="N496" s="88"/>
      <c r="O496" s="88"/>
      <c r="P496" s="88"/>
      <c r="Q496" s="88"/>
      <c r="R496" s="88"/>
      <c r="S496" s="88"/>
      <c r="T496" s="88"/>
      <c r="U496" s="88"/>
      <c r="V496" s="88"/>
      <c r="W496" s="88"/>
      <c r="X496" s="88"/>
      <c r="Y496" s="88"/>
      <c r="Z496" s="88"/>
      <c r="AA496" s="88"/>
      <c r="AB496" s="88"/>
      <c r="AC496" s="88"/>
      <c r="AD496" s="88"/>
      <c r="AE496" s="88"/>
    </row>
    <row r="497" spans="12:31" ht="15.75" customHeight="1" x14ac:dyDescent="0.3">
      <c r="L497" s="88"/>
      <c r="M497" s="88"/>
      <c r="N497" s="88"/>
      <c r="O497" s="88"/>
      <c r="P497" s="88"/>
      <c r="Q497" s="88"/>
      <c r="R497" s="88"/>
      <c r="S497" s="88"/>
      <c r="T497" s="88"/>
      <c r="U497" s="88"/>
      <c r="V497" s="88"/>
      <c r="W497" s="88"/>
      <c r="X497" s="88"/>
      <c r="Y497" s="88"/>
      <c r="Z497" s="88"/>
      <c r="AA497" s="88"/>
      <c r="AB497" s="88"/>
      <c r="AC497" s="88"/>
      <c r="AD497" s="88"/>
      <c r="AE497" s="88"/>
    </row>
    <row r="498" spans="12:31" ht="15.75" customHeight="1" x14ac:dyDescent="0.3">
      <c r="L498" s="88"/>
      <c r="M498" s="88"/>
      <c r="N498" s="88"/>
      <c r="O498" s="88"/>
      <c r="P498" s="88"/>
      <c r="Q498" s="88"/>
      <c r="R498" s="88"/>
      <c r="S498" s="88"/>
      <c r="T498" s="88"/>
      <c r="U498" s="88"/>
      <c r="V498" s="88"/>
      <c r="W498" s="88"/>
      <c r="X498" s="88"/>
      <c r="Y498" s="88"/>
      <c r="Z498" s="88"/>
      <c r="AA498" s="88"/>
      <c r="AB498" s="88"/>
      <c r="AC498" s="88"/>
      <c r="AD498" s="88"/>
      <c r="AE498" s="88"/>
    </row>
    <row r="499" spans="12:31" ht="15.75" customHeight="1" x14ac:dyDescent="0.3">
      <c r="L499" s="88"/>
      <c r="M499" s="88"/>
      <c r="N499" s="88"/>
      <c r="O499" s="88"/>
      <c r="P499" s="88"/>
      <c r="Q499" s="88"/>
      <c r="R499" s="88"/>
      <c r="S499" s="88"/>
      <c r="T499" s="88"/>
      <c r="U499" s="88"/>
      <c r="V499" s="88"/>
      <c r="W499" s="88"/>
      <c r="X499" s="88"/>
      <c r="Y499" s="88"/>
      <c r="Z499" s="88"/>
      <c r="AA499" s="88"/>
      <c r="AB499" s="88"/>
      <c r="AC499" s="88"/>
      <c r="AD499" s="88"/>
      <c r="AE499" s="88"/>
    </row>
    <row r="500" spans="12:31" ht="15.75" customHeight="1" x14ac:dyDescent="0.3">
      <c r="L500" s="88"/>
      <c r="M500" s="88"/>
      <c r="N500" s="88"/>
      <c r="O500" s="88"/>
      <c r="P500" s="88"/>
      <c r="Q500" s="88"/>
      <c r="R500" s="88"/>
      <c r="S500" s="88"/>
      <c r="T500" s="88"/>
      <c r="U500" s="88"/>
      <c r="V500" s="88"/>
      <c r="W500" s="88"/>
      <c r="X500" s="88"/>
      <c r="Y500" s="88"/>
      <c r="Z500" s="88"/>
      <c r="AA500" s="88"/>
      <c r="AB500" s="88"/>
      <c r="AC500" s="88"/>
      <c r="AD500" s="88"/>
      <c r="AE500" s="88"/>
    </row>
    <row r="501" spans="12:31" ht="15.75" customHeight="1" x14ac:dyDescent="0.3">
      <c r="L501" s="88"/>
      <c r="M501" s="88"/>
      <c r="N501" s="88"/>
      <c r="O501" s="88"/>
      <c r="P501" s="88"/>
      <c r="Q501" s="88"/>
      <c r="R501" s="88"/>
      <c r="S501" s="88"/>
      <c r="T501" s="88"/>
      <c r="U501" s="88"/>
      <c r="V501" s="88"/>
      <c r="W501" s="88"/>
      <c r="X501" s="88"/>
      <c r="Y501" s="88"/>
      <c r="Z501" s="88"/>
      <c r="AA501" s="88"/>
      <c r="AB501" s="88"/>
      <c r="AC501" s="88"/>
      <c r="AD501" s="88"/>
      <c r="AE501" s="88"/>
    </row>
    <row r="502" spans="12:31" ht="15.75" customHeight="1" x14ac:dyDescent="0.3">
      <c r="L502" s="88"/>
      <c r="M502" s="88"/>
      <c r="N502" s="88"/>
      <c r="O502" s="88"/>
      <c r="P502" s="88"/>
      <c r="Q502" s="88"/>
      <c r="R502" s="88"/>
      <c r="S502" s="88"/>
      <c r="T502" s="88"/>
      <c r="U502" s="88"/>
      <c r="V502" s="88"/>
      <c r="W502" s="88"/>
      <c r="X502" s="88"/>
      <c r="Y502" s="88"/>
      <c r="Z502" s="88"/>
      <c r="AA502" s="88"/>
      <c r="AB502" s="88"/>
      <c r="AC502" s="88"/>
      <c r="AD502" s="88"/>
      <c r="AE502" s="88"/>
    </row>
    <row r="503" spans="12:31" ht="15.75" customHeight="1" x14ac:dyDescent="0.3">
      <c r="L503" s="88"/>
      <c r="M503" s="88"/>
      <c r="N503" s="88"/>
      <c r="O503" s="88"/>
      <c r="P503" s="88"/>
      <c r="Q503" s="88"/>
      <c r="R503" s="88"/>
      <c r="S503" s="88"/>
      <c r="T503" s="88"/>
      <c r="U503" s="88"/>
      <c r="V503" s="88"/>
      <c r="W503" s="88"/>
      <c r="X503" s="88"/>
      <c r="Y503" s="88"/>
      <c r="Z503" s="88"/>
      <c r="AA503" s="88"/>
      <c r="AB503" s="88"/>
      <c r="AC503" s="88"/>
      <c r="AD503" s="88"/>
      <c r="AE503" s="88"/>
    </row>
    <row r="504" spans="12:31" ht="15.75" customHeight="1" x14ac:dyDescent="0.3">
      <c r="L504" s="88"/>
      <c r="M504" s="88"/>
      <c r="N504" s="88"/>
      <c r="O504" s="88"/>
      <c r="P504" s="88"/>
      <c r="Q504" s="88"/>
      <c r="R504" s="88"/>
      <c r="S504" s="88"/>
      <c r="T504" s="88"/>
      <c r="U504" s="88"/>
      <c r="V504" s="88"/>
      <c r="W504" s="88"/>
      <c r="X504" s="88"/>
      <c r="Y504" s="88"/>
      <c r="Z504" s="88"/>
      <c r="AA504" s="88"/>
      <c r="AB504" s="88"/>
      <c r="AC504" s="88"/>
      <c r="AD504" s="88"/>
      <c r="AE504" s="88"/>
    </row>
    <row r="505" spans="12:31" ht="15.75" customHeight="1" x14ac:dyDescent="0.3">
      <c r="L505" s="88"/>
      <c r="M505" s="88"/>
      <c r="N505" s="88"/>
      <c r="O505" s="88"/>
      <c r="P505" s="88"/>
      <c r="Q505" s="88"/>
      <c r="R505" s="88"/>
      <c r="S505" s="88"/>
      <c r="T505" s="88"/>
      <c r="U505" s="88"/>
      <c r="V505" s="88"/>
      <c r="W505" s="88"/>
      <c r="X505" s="88"/>
      <c r="Y505" s="88"/>
      <c r="Z505" s="88"/>
      <c r="AA505" s="88"/>
      <c r="AB505" s="88"/>
      <c r="AC505" s="88"/>
      <c r="AD505" s="88"/>
      <c r="AE505" s="88"/>
    </row>
    <row r="506" spans="12:31" ht="15.75" customHeight="1" x14ac:dyDescent="0.3">
      <c r="L506" s="88"/>
      <c r="M506" s="88"/>
      <c r="N506" s="88"/>
      <c r="O506" s="88"/>
      <c r="P506" s="88"/>
      <c r="Q506" s="88"/>
      <c r="R506" s="88"/>
      <c r="S506" s="88"/>
      <c r="T506" s="88"/>
      <c r="U506" s="88"/>
      <c r="V506" s="88"/>
      <c r="W506" s="88"/>
      <c r="X506" s="88"/>
      <c r="Y506" s="88"/>
      <c r="Z506" s="88"/>
      <c r="AA506" s="88"/>
      <c r="AB506" s="88"/>
      <c r="AC506" s="88"/>
      <c r="AD506" s="88"/>
      <c r="AE506" s="88"/>
    </row>
    <row r="507" spans="12:31" ht="15.75" customHeight="1" x14ac:dyDescent="0.3">
      <c r="L507" s="88"/>
      <c r="M507" s="88"/>
      <c r="N507" s="88"/>
      <c r="O507" s="88"/>
      <c r="P507" s="88"/>
      <c r="Q507" s="88"/>
      <c r="R507" s="88"/>
      <c r="S507" s="88"/>
      <c r="T507" s="88"/>
      <c r="U507" s="88"/>
      <c r="V507" s="88"/>
      <c r="W507" s="88"/>
      <c r="X507" s="88"/>
      <c r="Y507" s="88"/>
      <c r="Z507" s="88"/>
      <c r="AA507" s="88"/>
      <c r="AB507" s="88"/>
      <c r="AC507" s="88"/>
      <c r="AD507" s="88"/>
      <c r="AE507" s="88"/>
    </row>
    <row r="508" spans="12:31" ht="15.75" customHeight="1" x14ac:dyDescent="0.3">
      <c r="L508" s="88"/>
      <c r="M508" s="88"/>
      <c r="N508" s="88"/>
      <c r="O508" s="88"/>
      <c r="P508" s="88"/>
      <c r="Q508" s="88"/>
      <c r="R508" s="88"/>
      <c r="S508" s="88"/>
      <c r="T508" s="88"/>
      <c r="U508" s="88"/>
      <c r="V508" s="88"/>
      <c r="W508" s="88"/>
      <c r="X508" s="88"/>
      <c r="Y508" s="88"/>
      <c r="Z508" s="88"/>
      <c r="AA508" s="88"/>
      <c r="AB508" s="88"/>
      <c r="AC508" s="88"/>
      <c r="AD508" s="88"/>
      <c r="AE508" s="88"/>
    </row>
    <row r="509" spans="12:31" ht="15.75" customHeight="1" x14ac:dyDescent="0.3">
      <c r="L509" s="88"/>
      <c r="M509" s="88"/>
      <c r="N509" s="88"/>
      <c r="O509" s="88"/>
      <c r="P509" s="88"/>
      <c r="Q509" s="88"/>
      <c r="R509" s="88"/>
      <c r="S509" s="88"/>
      <c r="T509" s="88"/>
      <c r="U509" s="88"/>
      <c r="V509" s="88"/>
      <c r="W509" s="88"/>
      <c r="X509" s="88"/>
      <c r="Y509" s="88"/>
      <c r="Z509" s="88"/>
      <c r="AA509" s="88"/>
      <c r="AB509" s="88"/>
      <c r="AC509" s="88"/>
      <c r="AD509" s="88"/>
      <c r="AE509" s="88"/>
    </row>
    <row r="510" spans="12:31" ht="15.75" customHeight="1" x14ac:dyDescent="0.3">
      <c r="L510" s="88"/>
      <c r="M510" s="88"/>
      <c r="N510" s="88"/>
      <c r="O510" s="88"/>
      <c r="P510" s="88"/>
      <c r="Q510" s="88"/>
      <c r="R510" s="88"/>
      <c r="S510" s="88"/>
      <c r="T510" s="88"/>
      <c r="U510" s="88"/>
      <c r="V510" s="88"/>
      <c r="W510" s="88"/>
      <c r="X510" s="88"/>
      <c r="Y510" s="88"/>
      <c r="Z510" s="88"/>
      <c r="AA510" s="88"/>
      <c r="AB510" s="88"/>
      <c r="AC510" s="88"/>
      <c r="AD510" s="88"/>
      <c r="AE510" s="88"/>
    </row>
    <row r="511" spans="12:31" ht="15.75" customHeight="1" x14ac:dyDescent="0.3">
      <c r="L511" s="88"/>
      <c r="M511" s="88"/>
      <c r="N511" s="88"/>
      <c r="O511" s="88"/>
      <c r="P511" s="88"/>
      <c r="Q511" s="88"/>
      <c r="R511" s="88"/>
      <c r="S511" s="88"/>
      <c r="T511" s="88"/>
      <c r="U511" s="88"/>
      <c r="V511" s="88"/>
      <c r="W511" s="88"/>
      <c r="X511" s="88"/>
      <c r="Y511" s="88"/>
      <c r="Z511" s="88"/>
      <c r="AA511" s="88"/>
      <c r="AB511" s="88"/>
      <c r="AC511" s="88"/>
      <c r="AD511" s="88"/>
      <c r="AE511" s="88"/>
    </row>
    <row r="512" spans="12:31" ht="15.75" customHeight="1" x14ac:dyDescent="0.3">
      <c r="L512" s="88"/>
      <c r="M512" s="88"/>
      <c r="N512" s="88"/>
      <c r="O512" s="88"/>
      <c r="P512" s="88"/>
      <c r="Q512" s="88"/>
      <c r="R512" s="88"/>
      <c r="S512" s="88"/>
      <c r="T512" s="88"/>
      <c r="U512" s="88"/>
      <c r="V512" s="88"/>
      <c r="W512" s="88"/>
      <c r="X512" s="88"/>
      <c r="Y512" s="88"/>
      <c r="Z512" s="88"/>
      <c r="AA512" s="88"/>
      <c r="AB512" s="88"/>
      <c r="AC512" s="88"/>
      <c r="AD512" s="88"/>
      <c r="AE512" s="88"/>
    </row>
    <row r="513" spans="12:31" ht="15.75" customHeight="1" x14ac:dyDescent="0.3">
      <c r="L513" s="88"/>
      <c r="M513" s="88"/>
      <c r="N513" s="88"/>
      <c r="O513" s="88"/>
      <c r="P513" s="88"/>
      <c r="Q513" s="88"/>
      <c r="R513" s="88"/>
      <c r="S513" s="88"/>
      <c r="T513" s="88"/>
      <c r="U513" s="88"/>
      <c r="V513" s="88"/>
      <c r="W513" s="88"/>
      <c r="X513" s="88"/>
      <c r="Y513" s="88"/>
      <c r="Z513" s="88"/>
      <c r="AA513" s="88"/>
      <c r="AB513" s="88"/>
      <c r="AC513" s="88"/>
      <c r="AD513" s="88"/>
      <c r="AE513" s="88"/>
    </row>
    <row r="514" spans="12:31" ht="15.75" customHeight="1" x14ac:dyDescent="0.3">
      <c r="L514" s="88"/>
      <c r="M514" s="88"/>
      <c r="N514" s="88"/>
      <c r="O514" s="88"/>
      <c r="P514" s="88"/>
      <c r="Q514" s="88"/>
      <c r="R514" s="88"/>
      <c r="S514" s="88"/>
      <c r="T514" s="88"/>
      <c r="U514" s="88"/>
      <c r="V514" s="88"/>
      <c r="W514" s="88"/>
      <c r="X514" s="88"/>
      <c r="Y514" s="88"/>
      <c r="Z514" s="88"/>
      <c r="AA514" s="88"/>
      <c r="AB514" s="88"/>
      <c r="AC514" s="88"/>
      <c r="AD514" s="88"/>
      <c r="AE514" s="88"/>
    </row>
    <row r="515" spans="12:31" ht="15.75" customHeight="1" x14ac:dyDescent="0.3">
      <c r="L515" s="88"/>
      <c r="M515" s="88"/>
      <c r="N515" s="88"/>
      <c r="O515" s="88"/>
      <c r="P515" s="88"/>
      <c r="Q515" s="88"/>
      <c r="R515" s="88"/>
      <c r="S515" s="88"/>
      <c r="T515" s="88"/>
      <c r="U515" s="88"/>
      <c r="V515" s="88"/>
      <c r="W515" s="88"/>
      <c r="X515" s="88"/>
      <c r="Y515" s="88"/>
      <c r="Z515" s="88"/>
      <c r="AA515" s="88"/>
      <c r="AB515" s="88"/>
      <c r="AC515" s="88"/>
      <c r="AD515" s="88"/>
      <c r="AE515" s="88"/>
    </row>
    <row r="516" spans="12:31" ht="15.75" customHeight="1" x14ac:dyDescent="0.3">
      <c r="L516" s="88"/>
      <c r="M516" s="88"/>
      <c r="N516" s="88"/>
      <c r="O516" s="88"/>
      <c r="P516" s="88"/>
      <c r="Q516" s="88"/>
      <c r="R516" s="88"/>
      <c r="S516" s="88"/>
      <c r="T516" s="88"/>
      <c r="U516" s="88"/>
      <c r="V516" s="88"/>
      <c r="W516" s="88"/>
      <c r="X516" s="88"/>
      <c r="Y516" s="88"/>
      <c r="Z516" s="88"/>
      <c r="AA516" s="88"/>
      <c r="AB516" s="88"/>
      <c r="AC516" s="88"/>
      <c r="AD516" s="88"/>
      <c r="AE516" s="88"/>
    </row>
    <row r="517" spans="12:31" ht="15.75" customHeight="1" x14ac:dyDescent="0.3">
      <c r="L517" s="88"/>
      <c r="M517" s="88"/>
      <c r="N517" s="88"/>
      <c r="O517" s="88"/>
      <c r="P517" s="88"/>
      <c r="Q517" s="88"/>
      <c r="R517" s="88"/>
      <c r="S517" s="88"/>
      <c r="T517" s="88"/>
      <c r="U517" s="88"/>
      <c r="V517" s="88"/>
      <c r="W517" s="88"/>
      <c r="X517" s="88"/>
      <c r="Y517" s="88"/>
      <c r="Z517" s="88"/>
      <c r="AA517" s="88"/>
      <c r="AB517" s="88"/>
      <c r="AC517" s="88"/>
      <c r="AD517" s="88"/>
      <c r="AE517" s="88"/>
    </row>
    <row r="518" spans="12:31" ht="15.75" customHeight="1" x14ac:dyDescent="0.3">
      <c r="L518" s="88"/>
      <c r="M518" s="88"/>
      <c r="N518" s="88"/>
      <c r="O518" s="88"/>
      <c r="P518" s="88"/>
      <c r="Q518" s="88"/>
      <c r="R518" s="88"/>
      <c r="S518" s="88"/>
      <c r="T518" s="88"/>
      <c r="U518" s="88"/>
      <c r="V518" s="88"/>
      <c r="W518" s="88"/>
      <c r="X518" s="88"/>
      <c r="Y518" s="88"/>
      <c r="Z518" s="88"/>
      <c r="AA518" s="88"/>
      <c r="AB518" s="88"/>
      <c r="AC518" s="88"/>
      <c r="AD518" s="88"/>
      <c r="AE518" s="88"/>
    </row>
    <row r="519" spans="12:31" ht="15.75" customHeight="1" x14ac:dyDescent="0.3">
      <c r="L519" s="88"/>
      <c r="M519" s="88"/>
      <c r="N519" s="88"/>
      <c r="O519" s="88"/>
      <c r="P519" s="88"/>
      <c r="Q519" s="88"/>
      <c r="R519" s="88"/>
      <c r="S519" s="88"/>
      <c r="T519" s="88"/>
      <c r="U519" s="88"/>
      <c r="V519" s="88"/>
      <c r="W519" s="88"/>
      <c r="X519" s="88"/>
      <c r="Y519" s="88"/>
      <c r="Z519" s="88"/>
      <c r="AA519" s="88"/>
      <c r="AB519" s="88"/>
      <c r="AC519" s="88"/>
      <c r="AD519" s="88"/>
      <c r="AE519" s="88"/>
    </row>
    <row r="520" spans="12:31" ht="15.75" customHeight="1" x14ac:dyDescent="0.3">
      <c r="L520" s="88"/>
      <c r="M520" s="88"/>
      <c r="N520" s="88"/>
      <c r="O520" s="88"/>
      <c r="P520" s="88"/>
      <c r="Q520" s="88"/>
      <c r="R520" s="88"/>
      <c r="S520" s="88"/>
      <c r="T520" s="88"/>
      <c r="U520" s="88"/>
      <c r="V520" s="88"/>
      <c r="W520" s="88"/>
      <c r="X520" s="88"/>
      <c r="Y520" s="88"/>
      <c r="Z520" s="88"/>
      <c r="AA520" s="88"/>
      <c r="AB520" s="88"/>
      <c r="AC520" s="88"/>
      <c r="AD520" s="88"/>
      <c r="AE520" s="88"/>
    </row>
    <row r="521" spans="12:31" ht="15.75" customHeight="1" x14ac:dyDescent="0.3">
      <c r="L521" s="88"/>
      <c r="M521" s="88"/>
      <c r="N521" s="88"/>
      <c r="O521" s="88"/>
      <c r="P521" s="88"/>
      <c r="Q521" s="88"/>
      <c r="R521" s="88"/>
      <c r="S521" s="88"/>
      <c r="T521" s="88"/>
      <c r="U521" s="88"/>
      <c r="V521" s="88"/>
      <c r="W521" s="88"/>
      <c r="X521" s="88"/>
      <c r="Y521" s="88"/>
      <c r="Z521" s="88"/>
      <c r="AA521" s="88"/>
      <c r="AB521" s="88"/>
      <c r="AC521" s="88"/>
      <c r="AD521" s="88"/>
      <c r="AE521" s="88"/>
    </row>
    <row r="522" spans="12:31" ht="15.75" customHeight="1" x14ac:dyDescent="0.3">
      <c r="L522" s="88"/>
      <c r="M522" s="88"/>
      <c r="N522" s="88"/>
      <c r="O522" s="88"/>
      <c r="P522" s="88"/>
      <c r="Q522" s="88"/>
      <c r="R522" s="88"/>
      <c r="S522" s="88"/>
      <c r="T522" s="88"/>
      <c r="U522" s="88"/>
      <c r="V522" s="88"/>
      <c r="W522" s="88"/>
      <c r="X522" s="88"/>
      <c r="Y522" s="88"/>
      <c r="Z522" s="88"/>
      <c r="AA522" s="88"/>
      <c r="AB522" s="88"/>
      <c r="AC522" s="88"/>
      <c r="AD522" s="88"/>
      <c r="AE522" s="88"/>
    </row>
    <row r="523" spans="12:31" ht="15.75" customHeight="1" x14ac:dyDescent="0.3">
      <c r="L523" s="88"/>
      <c r="M523" s="88"/>
      <c r="N523" s="88"/>
      <c r="O523" s="88"/>
      <c r="P523" s="88"/>
      <c r="Q523" s="88"/>
      <c r="R523" s="88"/>
      <c r="S523" s="88"/>
      <c r="T523" s="88"/>
      <c r="U523" s="88"/>
      <c r="V523" s="88"/>
      <c r="W523" s="88"/>
      <c r="X523" s="88"/>
      <c r="Y523" s="88"/>
      <c r="Z523" s="88"/>
      <c r="AA523" s="88"/>
      <c r="AB523" s="88"/>
      <c r="AC523" s="88"/>
      <c r="AD523" s="88"/>
      <c r="AE523" s="88"/>
    </row>
    <row r="524" spans="12:31" ht="15.75" customHeight="1" x14ac:dyDescent="0.3">
      <c r="L524" s="88"/>
      <c r="M524" s="88"/>
      <c r="N524" s="88"/>
      <c r="O524" s="88"/>
      <c r="P524" s="88"/>
      <c r="Q524" s="88"/>
      <c r="R524" s="88"/>
      <c r="S524" s="88"/>
      <c r="T524" s="88"/>
      <c r="U524" s="88"/>
      <c r="V524" s="88"/>
      <c r="W524" s="88"/>
      <c r="X524" s="88"/>
      <c r="Y524" s="88"/>
      <c r="Z524" s="88"/>
      <c r="AA524" s="88"/>
      <c r="AB524" s="88"/>
      <c r="AC524" s="88"/>
      <c r="AD524" s="88"/>
      <c r="AE524" s="88"/>
    </row>
    <row r="525" spans="12:31" ht="15.75" customHeight="1" x14ac:dyDescent="0.3">
      <c r="L525" s="88"/>
      <c r="M525" s="88"/>
      <c r="N525" s="88"/>
      <c r="O525" s="88"/>
      <c r="P525" s="88"/>
      <c r="Q525" s="88"/>
      <c r="R525" s="88"/>
      <c r="S525" s="88"/>
      <c r="T525" s="88"/>
      <c r="U525" s="88"/>
      <c r="V525" s="88"/>
      <c r="W525" s="88"/>
      <c r="X525" s="88"/>
      <c r="Y525" s="88"/>
      <c r="Z525" s="88"/>
      <c r="AA525" s="88"/>
      <c r="AB525" s="88"/>
      <c r="AC525" s="88"/>
      <c r="AD525" s="88"/>
      <c r="AE525" s="88"/>
    </row>
    <row r="526" spans="12:31" ht="15.75" customHeight="1" x14ac:dyDescent="0.3">
      <c r="L526" s="88"/>
      <c r="M526" s="88"/>
      <c r="N526" s="88"/>
      <c r="O526" s="88"/>
      <c r="P526" s="88"/>
      <c r="Q526" s="88"/>
      <c r="R526" s="88"/>
      <c r="S526" s="88"/>
      <c r="T526" s="88"/>
      <c r="U526" s="88"/>
      <c r="V526" s="88"/>
      <c r="W526" s="88"/>
      <c r="X526" s="88"/>
      <c r="Y526" s="88"/>
      <c r="Z526" s="88"/>
      <c r="AA526" s="88"/>
      <c r="AB526" s="88"/>
      <c r="AC526" s="88"/>
      <c r="AD526" s="88"/>
      <c r="AE526" s="88"/>
    </row>
    <row r="527" spans="12:31" ht="15.75" customHeight="1" x14ac:dyDescent="0.3">
      <c r="L527" s="88"/>
      <c r="M527" s="88"/>
      <c r="N527" s="88"/>
      <c r="O527" s="88"/>
      <c r="P527" s="88"/>
      <c r="Q527" s="88"/>
      <c r="R527" s="88"/>
      <c r="S527" s="88"/>
      <c r="T527" s="88"/>
      <c r="U527" s="88"/>
      <c r="V527" s="88"/>
      <c r="W527" s="88"/>
      <c r="X527" s="88"/>
      <c r="Y527" s="88"/>
      <c r="Z527" s="88"/>
      <c r="AA527" s="88"/>
      <c r="AB527" s="88"/>
      <c r="AC527" s="88"/>
      <c r="AD527" s="88"/>
      <c r="AE527" s="88"/>
    </row>
    <row r="528" spans="12:31" ht="15.75" customHeight="1" x14ac:dyDescent="0.3">
      <c r="L528" s="88"/>
      <c r="M528" s="88"/>
      <c r="N528" s="88"/>
      <c r="O528" s="88"/>
      <c r="P528" s="88"/>
      <c r="Q528" s="88"/>
      <c r="R528" s="88"/>
      <c r="S528" s="88"/>
      <c r="T528" s="88"/>
      <c r="U528" s="88"/>
      <c r="V528" s="88"/>
      <c r="W528" s="88"/>
      <c r="X528" s="88"/>
      <c r="Y528" s="88"/>
      <c r="Z528" s="88"/>
      <c r="AA528" s="88"/>
      <c r="AB528" s="88"/>
      <c r="AC528" s="88"/>
      <c r="AD528" s="88"/>
      <c r="AE528" s="88"/>
    </row>
    <row r="529" spans="12:31" ht="15.75" customHeight="1" x14ac:dyDescent="0.3">
      <c r="L529" s="88"/>
      <c r="M529" s="88"/>
      <c r="N529" s="88"/>
      <c r="O529" s="88"/>
      <c r="P529" s="88"/>
      <c r="Q529" s="88"/>
      <c r="R529" s="88"/>
      <c r="S529" s="88"/>
      <c r="T529" s="88"/>
      <c r="U529" s="88"/>
      <c r="V529" s="88"/>
      <c r="W529" s="88"/>
      <c r="X529" s="88"/>
      <c r="Y529" s="88"/>
      <c r="Z529" s="88"/>
      <c r="AA529" s="88"/>
      <c r="AB529" s="88"/>
      <c r="AC529" s="88"/>
      <c r="AD529" s="88"/>
      <c r="AE529" s="88"/>
    </row>
    <row r="530" spans="12:31" ht="15.75" customHeight="1" x14ac:dyDescent="0.3">
      <c r="L530" s="88"/>
      <c r="M530" s="88"/>
      <c r="N530" s="88"/>
      <c r="O530" s="88"/>
      <c r="P530" s="88"/>
      <c r="Q530" s="88"/>
      <c r="R530" s="88"/>
      <c r="S530" s="88"/>
      <c r="T530" s="88"/>
      <c r="U530" s="88"/>
      <c r="V530" s="88"/>
      <c r="W530" s="88"/>
      <c r="X530" s="88"/>
      <c r="Y530" s="88"/>
      <c r="Z530" s="88"/>
      <c r="AA530" s="88"/>
      <c r="AB530" s="88"/>
      <c r="AC530" s="88"/>
      <c r="AD530" s="88"/>
      <c r="AE530" s="88"/>
    </row>
    <row r="531" spans="12:31" ht="15.75" customHeight="1" x14ac:dyDescent="0.3">
      <c r="L531" s="88"/>
      <c r="M531" s="88"/>
      <c r="N531" s="88"/>
      <c r="O531" s="88"/>
      <c r="P531" s="88"/>
      <c r="Q531" s="88"/>
      <c r="R531" s="88"/>
      <c r="S531" s="88"/>
      <c r="T531" s="88"/>
      <c r="U531" s="88"/>
      <c r="V531" s="88"/>
      <c r="W531" s="88"/>
      <c r="X531" s="88"/>
      <c r="Y531" s="88"/>
      <c r="Z531" s="88"/>
      <c r="AA531" s="88"/>
      <c r="AB531" s="88"/>
      <c r="AC531" s="88"/>
      <c r="AD531" s="88"/>
      <c r="AE531" s="88"/>
    </row>
    <row r="532" spans="12:31" ht="15.75" customHeight="1" x14ac:dyDescent="0.3">
      <c r="L532" s="88"/>
      <c r="M532" s="88"/>
      <c r="N532" s="88"/>
      <c r="O532" s="88"/>
      <c r="P532" s="88"/>
      <c r="Q532" s="88"/>
      <c r="R532" s="88"/>
      <c r="S532" s="88"/>
      <c r="T532" s="88"/>
      <c r="U532" s="88"/>
      <c r="V532" s="88"/>
      <c r="W532" s="88"/>
      <c r="X532" s="88"/>
      <c r="Y532" s="88"/>
      <c r="Z532" s="88"/>
      <c r="AA532" s="88"/>
      <c r="AB532" s="88"/>
      <c r="AC532" s="88"/>
      <c r="AD532" s="88"/>
      <c r="AE532" s="88"/>
    </row>
    <row r="533" spans="12:31" ht="15.75" customHeight="1" x14ac:dyDescent="0.3">
      <c r="L533" s="88"/>
      <c r="M533" s="88"/>
      <c r="N533" s="88"/>
      <c r="O533" s="88"/>
      <c r="P533" s="88"/>
      <c r="Q533" s="88"/>
      <c r="R533" s="88"/>
      <c r="S533" s="88"/>
      <c r="T533" s="88"/>
      <c r="U533" s="88"/>
      <c r="V533" s="88"/>
      <c r="W533" s="88"/>
      <c r="X533" s="88"/>
      <c r="Y533" s="88"/>
      <c r="Z533" s="88"/>
      <c r="AA533" s="88"/>
      <c r="AB533" s="88"/>
      <c r="AC533" s="88"/>
      <c r="AD533" s="88"/>
      <c r="AE533" s="88"/>
    </row>
    <row r="534" spans="12:31" ht="15.75" customHeight="1" x14ac:dyDescent="0.3">
      <c r="L534" s="88"/>
      <c r="M534" s="88"/>
      <c r="N534" s="88"/>
      <c r="O534" s="88"/>
      <c r="P534" s="88"/>
      <c r="Q534" s="88"/>
      <c r="R534" s="88"/>
      <c r="S534" s="88"/>
      <c r="T534" s="88"/>
      <c r="U534" s="88"/>
      <c r="V534" s="88"/>
      <c r="W534" s="88"/>
      <c r="X534" s="88"/>
      <c r="Y534" s="88"/>
      <c r="Z534" s="88"/>
      <c r="AA534" s="88"/>
      <c r="AB534" s="88"/>
      <c r="AC534" s="88"/>
      <c r="AD534" s="88"/>
      <c r="AE534" s="88"/>
    </row>
    <row r="535" spans="12:31" ht="15.75" customHeight="1" x14ac:dyDescent="0.3">
      <c r="L535" s="88"/>
      <c r="M535" s="88"/>
      <c r="N535" s="88"/>
      <c r="O535" s="88"/>
      <c r="P535" s="88"/>
      <c r="Q535" s="88"/>
      <c r="R535" s="88"/>
      <c r="S535" s="88"/>
      <c r="T535" s="88"/>
      <c r="U535" s="88"/>
      <c r="V535" s="88"/>
      <c r="W535" s="88"/>
      <c r="X535" s="88"/>
      <c r="Y535" s="88"/>
      <c r="Z535" s="88"/>
      <c r="AA535" s="88"/>
      <c r="AB535" s="88"/>
      <c r="AC535" s="88"/>
      <c r="AD535" s="88"/>
      <c r="AE535" s="88"/>
    </row>
    <row r="536" spans="12:31" ht="15.75" customHeight="1" x14ac:dyDescent="0.3">
      <c r="L536" s="88"/>
      <c r="M536" s="88"/>
      <c r="N536" s="88"/>
      <c r="O536" s="88"/>
      <c r="P536" s="88"/>
      <c r="Q536" s="88"/>
      <c r="R536" s="88"/>
      <c r="S536" s="88"/>
      <c r="T536" s="88"/>
      <c r="U536" s="88"/>
      <c r="V536" s="88"/>
      <c r="W536" s="88"/>
      <c r="X536" s="88"/>
      <c r="Y536" s="88"/>
      <c r="Z536" s="88"/>
      <c r="AA536" s="88"/>
      <c r="AB536" s="88"/>
      <c r="AC536" s="88"/>
      <c r="AD536" s="88"/>
      <c r="AE536" s="88"/>
    </row>
    <row r="537" spans="12:31" ht="15.75" customHeight="1" x14ac:dyDescent="0.3">
      <c r="L537" s="88"/>
      <c r="M537" s="88"/>
      <c r="N537" s="88"/>
      <c r="O537" s="88"/>
      <c r="P537" s="88"/>
      <c r="Q537" s="88"/>
      <c r="R537" s="88"/>
      <c r="S537" s="88"/>
      <c r="T537" s="88"/>
      <c r="U537" s="88"/>
      <c r="V537" s="88"/>
      <c r="W537" s="88"/>
      <c r="X537" s="88"/>
      <c r="Y537" s="88"/>
      <c r="Z537" s="88"/>
      <c r="AA537" s="88"/>
      <c r="AB537" s="88"/>
      <c r="AC537" s="88"/>
      <c r="AD537" s="88"/>
      <c r="AE537" s="88"/>
    </row>
    <row r="538" spans="12:31" ht="15.75" customHeight="1" x14ac:dyDescent="0.3">
      <c r="L538" s="88"/>
      <c r="M538" s="88"/>
      <c r="N538" s="88"/>
      <c r="O538" s="88"/>
      <c r="P538" s="88"/>
      <c r="Q538" s="88"/>
      <c r="R538" s="88"/>
      <c r="S538" s="88"/>
      <c r="T538" s="88"/>
      <c r="U538" s="88"/>
      <c r="V538" s="88"/>
      <c r="W538" s="88"/>
      <c r="X538" s="88"/>
      <c r="Y538" s="88"/>
      <c r="Z538" s="88"/>
      <c r="AA538" s="88"/>
      <c r="AB538" s="88"/>
      <c r="AC538" s="88"/>
      <c r="AD538" s="88"/>
      <c r="AE538" s="88"/>
    </row>
    <row r="539" spans="12:31" ht="15.75" customHeight="1" x14ac:dyDescent="0.3">
      <c r="L539" s="88"/>
      <c r="M539" s="88"/>
      <c r="N539" s="88"/>
      <c r="O539" s="88"/>
      <c r="P539" s="88"/>
      <c r="Q539" s="88"/>
      <c r="R539" s="88"/>
      <c r="S539" s="88"/>
      <c r="T539" s="88"/>
      <c r="U539" s="88"/>
      <c r="V539" s="88"/>
      <c r="W539" s="88"/>
      <c r="X539" s="88"/>
      <c r="Y539" s="88"/>
      <c r="Z539" s="88"/>
      <c r="AA539" s="88"/>
      <c r="AB539" s="88"/>
      <c r="AC539" s="88"/>
      <c r="AD539" s="88"/>
      <c r="AE539" s="88"/>
    </row>
    <row r="540" spans="12:31" ht="15.75" customHeight="1" x14ac:dyDescent="0.3">
      <c r="L540" s="88"/>
      <c r="M540" s="88"/>
      <c r="N540" s="88"/>
      <c r="O540" s="88"/>
      <c r="P540" s="88"/>
      <c r="Q540" s="88"/>
      <c r="R540" s="88"/>
      <c r="S540" s="88"/>
      <c r="T540" s="88"/>
      <c r="U540" s="88"/>
      <c r="V540" s="88"/>
      <c r="W540" s="88"/>
      <c r="X540" s="88"/>
      <c r="Y540" s="88"/>
      <c r="Z540" s="88"/>
      <c r="AA540" s="88"/>
      <c r="AB540" s="88"/>
      <c r="AC540" s="88"/>
      <c r="AD540" s="88"/>
      <c r="AE540" s="88"/>
    </row>
    <row r="541" spans="12:31" ht="15.75" customHeight="1" x14ac:dyDescent="0.3">
      <c r="L541" s="88"/>
      <c r="M541" s="88"/>
      <c r="N541" s="88"/>
      <c r="O541" s="88"/>
      <c r="P541" s="88"/>
      <c r="Q541" s="88"/>
      <c r="R541" s="88"/>
      <c r="S541" s="88"/>
      <c r="T541" s="88"/>
      <c r="U541" s="88"/>
      <c r="V541" s="88"/>
      <c r="W541" s="88"/>
      <c r="X541" s="88"/>
      <c r="Y541" s="88"/>
      <c r="Z541" s="88"/>
      <c r="AA541" s="88"/>
      <c r="AB541" s="88"/>
      <c r="AC541" s="88"/>
      <c r="AD541" s="88"/>
      <c r="AE541" s="88"/>
    </row>
    <row r="542" spans="12:31" ht="15.75" customHeight="1" x14ac:dyDescent="0.3">
      <c r="L542" s="88"/>
      <c r="M542" s="88"/>
      <c r="N542" s="88"/>
      <c r="O542" s="88"/>
      <c r="P542" s="88"/>
      <c r="Q542" s="88"/>
      <c r="R542" s="88"/>
      <c r="S542" s="88"/>
      <c r="T542" s="88"/>
      <c r="U542" s="88"/>
      <c r="V542" s="88"/>
      <c r="W542" s="88"/>
      <c r="X542" s="88"/>
      <c r="Y542" s="88"/>
      <c r="Z542" s="88"/>
      <c r="AA542" s="88"/>
      <c r="AB542" s="88"/>
      <c r="AC542" s="88"/>
      <c r="AD542" s="88"/>
      <c r="AE542" s="88"/>
    </row>
    <row r="543" spans="12:31" ht="15.75" customHeight="1" x14ac:dyDescent="0.3">
      <c r="L543" s="88"/>
      <c r="M543" s="88"/>
      <c r="N543" s="88"/>
      <c r="O543" s="88"/>
      <c r="P543" s="88"/>
      <c r="Q543" s="88"/>
      <c r="R543" s="88"/>
      <c r="S543" s="88"/>
      <c r="T543" s="88"/>
      <c r="U543" s="88"/>
      <c r="V543" s="88"/>
      <c r="W543" s="88"/>
      <c r="X543" s="88"/>
      <c r="Y543" s="88"/>
      <c r="Z543" s="88"/>
      <c r="AA543" s="88"/>
      <c r="AB543" s="88"/>
      <c r="AC543" s="88"/>
      <c r="AD543" s="88"/>
      <c r="AE543" s="88"/>
    </row>
    <row r="544" spans="12:31" ht="15.75" customHeight="1" x14ac:dyDescent="0.3">
      <c r="L544" s="88"/>
      <c r="M544" s="88"/>
      <c r="N544" s="88"/>
      <c r="O544" s="88"/>
      <c r="P544" s="88"/>
      <c r="Q544" s="88"/>
      <c r="R544" s="88"/>
      <c r="S544" s="88"/>
      <c r="T544" s="88"/>
      <c r="U544" s="88"/>
      <c r="V544" s="88"/>
      <c r="W544" s="88"/>
      <c r="X544" s="88"/>
      <c r="Y544" s="88"/>
      <c r="Z544" s="88"/>
      <c r="AA544" s="88"/>
      <c r="AB544" s="88"/>
      <c r="AC544" s="88"/>
      <c r="AD544" s="88"/>
      <c r="AE544" s="88"/>
    </row>
    <row r="545" spans="12:31" ht="15.75" customHeight="1" x14ac:dyDescent="0.3">
      <c r="L545" s="88"/>
      <c r="M545" s="88"/>
      <c r="N545" s="88"/>
      <c r="O545" s="88"/>
      <c r="P545" s="88"/>
      <c r="Q545" s="88"/>
      <c r="R545" s="88"/>
      <c r="S545" s="88"/>
      <c r="T545" s="88"/>
      <c r="U545" s="88"/>
      <c r="V545" s="88"/>
      <c r="W545" s="88"/>
      <c r="X545" s="88"/>
      <c r="Y545" s="88"/>
      <c r="Z545" s="88"/>
      <c r="AA545" s="88"/>
      <c r="AB545" s="88"/>
      <c r="AC545" s="88"/>
      <c r="AD545" s="88"/>
      <c r="AE545" s="88"/>
    </row>
    <row r="546" spans="12:31" ht="15.75" customHeight="1" x14ac:dyDescent="0.3">
      <c r="L546" s="88"/>
      <c r="M546" s="88"/>
      <c r="N546" s="88"/>
      <c r="O546" s="88"/>
      <c r="P546" s="88"/>
      <c r="Q546" s="88"/>
      <c r="R546" s="88"/>
      <c r="S546" s="88"/>
      <c r="T546" s="88"/>
      <c r="U546" s="88"/>
      <c r="V546" s="88"/>
      <c r="W546" s="88"/>
      <c r="X546" s="88"/>
      <c r="Y546" s="88"/>
      <c r="Z546" s="88"/>
      <c r="AA546" s="88"/>
      <c r="AB546" s="88"/>
      <c r="AC546" s="88"/>
      <c r="AD546" s="88"/>
      <c r="AE546" s="88"/>
    </row>
    <row r="547" spans="12:31" ht="15.75" customHeight="1" x14ac:dyDescent="0.3">
      <c r="L547" s="88"/>
      <c r="M547" s="88"/>
      <c r="N547" s="88"/>
      <c r="O547" s="88"/>
      <c r="P547" s="88"/>
      <c r="Q547" s="88"/>
      <c r="R547" s="88"/>
      <c r="S547" s="88"/>
      <c r="T547" s="88"/>
      <c r="U547" s="88"/>
      <c r="V547" s="88"/>
      <c r="W547" s="88"/>
      <c r="X547" s="88"/>
      <c r="Y547" s="88"/>
      <c r="Z547" s="88"/>
      <c r="AA547" s="88"/>
      <c r="AB547" s="88"/>
      <c r="AC547" s="88"/>
      <c r="AD547" s="88"/>
      <c r="AE547" s="88"/>
    </row>
    <row r="548" spans="12:31" ht="15.75" customHeight="1" x14ac:dyDescent="0.3">
      <c r="L548" s="88"/>
      <c r="M548" s="88"/>
      <c r="N548" s="88"/>
      <c r="O548" s="88"/>
      <c r="P548" s="88"/>
      <c r="Q548" s="88"/>
      <c r="R548" s="88"/>
      <c r="S548" s="88"/>
      <c r="T548" s="88"/>
      <c r="U548" s="88"/>
      <c r="V548" s="88"/>
      <c r="W548" s="88"/>
      <c r="X548" s="88"/>
      <c r="Y548" s="88"/>
      <c r="Z548" s="88"/>
      <c r="AA548" s="88"/>
      <c r="AB548" s="88"/>
      <c r="AC548" s="88"/>
      <c r="AD548" s="88"/>
      <c r="AE548" s="88"/>
    </row>
    <row r="549" spans="12:31" ht="15.75" customHeight="1" x14ac:dyDescent="0.3">
      <c r="L549" s="88"/>
      <c r="M549" s="88"/>
      <c r="N549" s="88"/>
      <c r="O549" s="88"/>
      <c r="P549" s="88"/>
      <c r="Q549" s="88"/>
      <c r="R549" s="88"/>
      <c r="S549" s="88"/>
      <c r="T549" s="88"/>
      <c r="U549" s="88"/>
      <c r="V549" s="88"/>
      <c r="W549" s="88"/>
      <c r="X549" s="88"/>
      <c r="Y549" s="88"/>
      <c r="Z549" s="88"/>
      <c r="AA549" s="88"/>
      <c r="AB549" s="88"/>
      <c r="AC549" s="88"/>
      <c r="AD549" s="88"/>
      <c r="AE549" s="88"/>
    </row>
    <row r="550" spans="12:31" ht="15.75" customHeight="1" x14ac:dyDescent="0.3">
      <c r="L550" s="88"/>
      <c r="M550" s="88"/>
      <c r="N550" s="88"/>
      <c r="O550" s="88"/>
      <c r="P550" s="88"/>
      <c r="Q550" s="88"/>
      <c r="R550" s="88"/>
      <c r="S550" s="88"/>
      <c r="T550" s="88"/>
      <c r="U550" s="88"/>
      <c r="V550" s="88"/>
      <c r="W550" s="88"/>
      <c r="X550" s="88"/>
      <c r="Y550" s="88"/>
      <c r="Z550" s="88"/>
      <c r="AA550" s="88"/>
      <c r="AB550" s="88"/>
      <c r="AC550" s="88"/>
      <c r="AD550" s="88"/>
      <c r="AE550" s="88"/>
    </row>
    <row r="551" spans="12:31" ht="15.75" customHeight="1" x14ac:dyDescent="0.3">
      <c r="L551" s="88"/>
      <c r="M551" s="88"/>
      <c r="N551" s="88"/>
      <c r="O551" s="88"/>
      <c r="P551" s="88"/>
      <c r="Q551" s="88"/>
      <c r="R551" s="88"/>
      <c r="S551" s="88"/>
      <c r="T551" s="88"/>
      <c r="U551" s="88"/>
      <c r="V551" s="88"/>
      <c r="W551" s="88"/>
      <c r="X551" s="88"/>
      <c r="Y551" s="88"/>
      <c r="Z551" s="88"/>
      <c r="AA551" s="88"/>
      <c r="AB551" s="88"/>
      <c r="AC551" s="88"/>
      <c r="AD551" s="88"/>
      <c r="AE551" s="88"/>
    </row>
    <row r="552" spans="12:31" ht="15.75" customHeight="1" x14ac:dyDescent="0.3">
      <c r="L552" s="88"/>
      <c r="M552" s="88"/>
      <c r="N552" s="88"/>
      <c r="O552" s="88"/>
      <c r="P552" s="88"/>
      <c r="Q552" s="88"/>
      <c r="R552" s="88"/>
      <c r="S552" s="88"/>
      <c r="T552" s="88"/>
      <c r="U552" s="88"/>
      <c r="V552" s="88"/>
      <c r="W552" s="88"/>
      <c r="X552" s="88"/>
      <c r="Y552" s="88"/>
      <c r="Z552" s="88"/>
      <c r="AA552" s="88"/>
      <c r="AB552" s="88"/>
      <c r="AC552" s="88"/>
      <c r="AD552" s="88"/>
      <c r="AE552" s="88"/>
    </row>
    <row r="553" spans="12:31" ht="15.75" customHeight="1" x14ac:dyDescent="0.3">
      <c r="L553" s="88"/>
      <c r="M553" s="88"/>
      <c r="N553" s="88"/>
      <c r="O553" s="88"/>
      <c r="P553" s="88"/>
      <c r="Q553" s="88"/>
      <c r="R553" s="88"/>
      <c r="S553" s="88"/>
      <c r="T553" s="88"/>
      <c r="U553" s="88"/>
      <c r="V553" s="88"/>
      <c r="W553" s="88"/>
      <c r="X553" s="88"/>
      <c r="Y553" s="88"/>
      <c r="Z553" s="88"/>
      <c r="AA553" s="88"/>
      <c r="AB553" s="88"/>
      <c r="AC553" s="88"/>
      <c r="AD553" s="88"/>
      <c r="AE553" s="88"/>
    </row>
    <row r="554" spans="12:31" ht="15.75" customHeight="1" x14ac:dyDescent="0.3">
      <c r="L554" s="88"/>
      <c r="M554" s="88"/>
      <c r="N554" s="88"/>
      <c r="O554" s="88"/>
      <c r="P554" s="88"/>
      <c r="Q554" s="88"/>
      <c r="R554" s="88"/>
      <c r="S554" s="88"/>
      <c r="T554" s="88"/>
      <c r="U554" s="88"/>
      <c r="V554" s="88"/>
      <c r="W554" s="88"/>
      <c r="X554" s="88"/>
      <c r="Y554" s="88"/>
      <c r="Z554" s="88"/>
      <c r="AA554" s="88"/>
      <c r="AB554" s="88"/>
      <c r="AC554" s="88"/>
      <c r="AD554" s="88"/>
      <c r="AE554" s="88"/>
    </row>
    <row r="555" spans="12:31" ht="15.75" customHeight="1" x14ac:dyDescent="0.3">
      <c r="L555" s="88"/>
      <c r="M555" s="88"/>
      <c r="N555" s="88"/>
      <c r="O555" s="88"/>
      <c r="P555" s="88"/>
      <c r="Q555" s="88"/>
      <c r="R555" s="88"/>
      <c r="S555" s="88"/>
      <c r="T555" s="88"/>
      <c r="U555" s="88"/>
      <c r="V555" s="88"/>
      <c r="W555" s="88"/>
      <c r="X555" s="88"/>
      <c r="Y555" s="88"/>
      <c r="Z555" s="88"/>
      <c r="AA555" s="88"/>
      <c r="AB555" s="88"/>
      <c r="AC555" s="88"/>
      <c r="AD555" s="88"/>
      <c r="AE555" s="88"/>
    </row>
    <row r="556" spans="12:31" ht="15.75" customHeight="1" x14ac:dyDescent="0.3">
      <c r="L556" s="88"/>
      <c r="M556" s="88"/>
      <c r="N556" s="88"/>
      <c r="O556" s="88"/>
      <c r="P556" s="88"/>
      <c r="Q556" s="88"/>
      <c r="R556" s="88"/>
      <c r="S556" s="88"/>
      <c r="T556" s="88"/>
      <c r="U556" s="88"/>
      <c r="V556" s="88"/>
      <c r="W556" s="88"/>
      <c r="X556" s="88"/>
      <c r="Y556" s="88"/>
      <c r="Z556" s="88"/>
      <c r="AA556" s="88"/>
      <c r="AB556" s="88"/>
      <c r="AC556" s="88"/>
      <c r="AD556" s="88"/>
      <c r="AE556" s="88"/>
    </row>
    <row r="557" spans="12:31" ht="15.75" customHeight="1" x14ac:dyDescent="0.3">
      <c r="L557" s="88"/>
      <c r="M557" s="88"/>
      <c r="N557" s="88"/>
      <c r="O557" s="88"/>
      <c r="P557" s="88"/>
      <c r="Q557" s="88"/>
      <c r="R557" s="88"/>
      <c r="S557" s="88"/>
      <c r="T557" s="88"/>
      <c r="U557" s="88"/>
      <c r="V557" s="88"/>
      <c r="W557" s="88"/>
      <c r="X557" s="88"/>
      <c r="Y557" s="88"/>
      <c r="Z557" s="88"/>
      <c r="AA557" s="88"/>
      <c r="AB557" s="88"/>
      <c r="AC557" s="88"/>
      <c r="AD557" s="88"/>
      <c r="AE557" s="88"/>
    </row>
    <row r="558" spans="12:31" ht="15.75" customHeight="1" x14ac:dyDescent="0.3">
      <c r="L558" s="88"/>
      <c r="M558" s="88"/>
      <c r="N558" s="88"/>
      <c r="O558" s="88"/>
      <c r="P558" s="88"/>
      <c r="Q558" s="88"/>
      <c r="R558" s="88"/>
      <c r="S558" s="88"/>
      <c r="T558" s="88"/>
      <c r="U558" s="88"/>
      <c r="V558" s="88"/>
      <c r="W558" s="88"/>
      <c r="X558" s="88"/>
      <c r="Y558" s="88"/>
      <c r="Z558" s="88"/>
      <c r="AA558" s="88"/>
      <c r="AB558" s="88"/>
      <c r="AC558" s="88"/>
      <c r="AD558" s="88"/>
      <c r="AE558" s="88"/>
    </row>
    <row r="559" spans="12:31" ht="15.75" customHeight="1" x14ac:dyDescent="0.3">
      <c r="L559" s="88"/>
      <c r="M559" s="88"/>
      <c r="N559" s="88"/>
      <c r="O559" s="88"/>
      <c r="P559" s="88"/>
      <c r="Q559" s="88"/>
      <c r="R559" s="88"/>
      <c r="S559" s="88"/>
      <c r="T559" s="88"/>
      <c r="U559" s="88"/>
      <c r="V559" s="88"/>
      <c r="W559" s="88"/>
      <c r="X559" s="88"/>
      <c r="Y559" s="88"/>
      <c r="Z559" s="88"/>
      <c r="AA559" s="88"/>
      <c r="AB559" s="88"/>
      <c r="AC559" s="88"/>
      <c r="AD559" s="88"/>
      <c r="AE559" s="88"/>
    </row>
    <row r="560" spans="12:31" ht="15.75" customHeight="1" x14ac:dyDescent="0.3">
      <c r="L560" s="88"/>
      <c r="M560" s="88"/>
      <c r="N560" s="88"/>
      <c r="O560" s="88"/>
      <c r="P560" s="88"/>
      <c r="Q560" s="88"/>
      <c r="R560" s="88"/>
      <c r="S560" s="88"/>
      <c r="T560" s="88"/>
      <c r="U560" s="88"/>
      <c r="V560" s="88"/>
      <c r="W560" s="88"/>
      <c r="X560" s="88"/>
      <c r="Y560" s="88"/>
      <c r="Z560" s="88"/>
      <c r="AA560" s="88"/>
      <c r="AB560" s="88"/>
      <c r="AC560" s="88"/>
      <c r="AD560" s="88"/>
      <c r="AE560" s="88"/>
    </row>
    <row r="561" spans="12:31" ht="15.75" customHeight="1" x14ac:dyDescent="0.3">
      <c r="L561" s="88"/>
      <c r="M561" s="88"/>
      <c r="N561" s="88"/>
      <c r="O561" s="88"/>
      <c r="P561" s="88"/>
      <c r="Q561" s="88"/>
      <c r="R561" s="88"/>
      <c r="S561" s="88"/>
      <c r="T561" s="88"/>
      <c r="U561" s="88"/>
      <c r="V561" s="88"/>
      <c r="W561" s="88"/>
      <c r="X561" s="88"/>
      <c r="Y561" s="88"/>
      <c r="Z561" s="88"/>
      <c r="AA561" s="88"/>
      <c r="AB561" s="88"/>
      <c r="AC561" s="88"/>
      <c r="AD561" s="88"/>
      <c r="AE561" s="88"/>
    </row>
    <row r="562" spans="12:31" ht="15.75" customHeight="1" x14ac:dyDescent="0.3">
      <c r="L562" s="88"/>
      <c r="M562" s="88"/>
      <c r="N562" s="88"/>
      <c r="O562" s="88"/>
      <c r="P562" s="88"/>
      <c r="Q562" s="88"/>
      <c r="R562" s="88"/>
      <c r="S562" s="88"/>
      <c r="T562" s="88"/>
      <c r="U562" s="88"/>
      <c r="V562" s="88"/>
      <c r="W562" s="88"/>
      <c r="X562" s="88"/>
      <c r="Y562" s="88"/>
      <c r="Z562" s="88"/>
      <c r="AA562" s="88"/>
      <c r="AB562" s="88"/>
      <c r="AC562" s="88"/>
      <c r="AD562" s="88"/>
      <c r="AE562" s="88"/>
    </row>
    <row r="563" spans="12:31" ht="15.75" customHeight="1" x14ac:dyDescent="0.3">
      <c r="L563" s="88"/>
      <c r="M563" s="88"/>
      <c r="N563" s="88"/>
      <c r="O563" s="88"/>
      <c r="P563" s="88"/>
      <c r="Q563" s="88"/>
      <c r="R563" s="88"/>
      <c r="S563" s="88"/>
      <c r="T563" s="88"/>
      <c r="U563" s="88"/>
      <c r="V563" s="88"/>
      <c r="W563" s="88"/>
      <c r="X563" s="88"/>
      <c r="Y563" s="88"/>
      <c r="Z563" s="88"/>
      <c r="AA563" s="88"/>
      <c r="AB563" s="88"/>
      <c r="AC563" s="88"/>
      <c r="AD563" s="88"/>
      <c r="AE563" s="88"/>
    </row>
    <row r="564" spans="12:31" ht="15.75" customHeight="1" x14ac:dyDescent="0.3">
      <c r="L564" s="88"/>
      <c r="M564" s="88"/>
      <c r="N564" s="88"/>
      <c r="O564" s="88"/>
      <c r="P564" s="88"/>
      <c r="Q564" s="88"/>
      <c r="R564" s="88"/>
      <c r="S564" s="88"/>
      <c r="T564" s="88"/>
      <c r="U564" s="88"/>
      <c r="V564" s="88"/>
      <c r="W564" s="88"/>
      <c r="X564" s="88"/>
      <c r="Y564" s="88"/>
      <c r="Z564" s="88"/>
      <c r="AA564" s="88"/>
      <c r="AB564" s="88"/>
      <c r="AC564" s="88"/>
      <c r="AD564" s="88"/>
      <c r="AE564" s="88"/>
    </row>
    <row r="565" spans="12:31" ht="15.75" customHeight="1" x14ac:dyDescent="0.3">
      <c r="L565" s="88"/>
      <c r="M565" s="88"/>
      <c r="N565" s="88"/>
      <c r="O565" s="88"/>
      <c r="P565" s="88"/>
      <c r="Q565" s="88"/>
      <c r="R565" s="88"/>
      <c r="S565" s="88"/>
      <c r="T565" s="88"/>
      <c r="U565" s="88"/>
      <c r="V565" s="88"/>
      <c r="W565" s="88"/>
      <c r="X565" s="88"/>
      <c r="Y565" s="88"/>
      <c r="Z565" s="88"/>
      <c r="AA565" s="88"/>
      <c r="AB565" s="88"/>
      <c r="AC565" s="88"/>
      <c r="AD565" s="88"/>
      <c r="AE565" s="88"/>
    </row>
    <row r="566" spans="12:31" ht="15.75" customHeight="1" x14ac:dyDescent="0.3">
      <c r="L566" s="88"/>
      <c r="M566" s="88"/>
      <c r="N566" s="88"/>
      <c r="O566" s="88"/>
      <c r="P566" s="88"/>
      <c r="Q566" s="88"/>
      <c r="R566" s="88"/>
      <c r="S566" s="88"/>
      <c r="T566" s="88"/>
      <c r="U566" s="88"/>
      <c r="V566" s="88"/>
      <c r="W566" s="88"/>
      <c r="X566" s="88"/>
      <c r="Y566" s="88"/>
      <c r="Z566" s="88"/>
      <c r="AA566" s="88"/>
      <c r="AB566" s="88"/>
      <c r="AC566" s="88"/>
      <c r="AD566" s="88"/>
      <c r="AE566" s="88"/>
    </row>
    <row r="567" spans="12:31" ht="15.75" customHeight="1" x14ac:dyDescent="0.3">
      <c r="L567" s="88"/>
      <c r="M567" s="88"/>
      <c r="N567" s="88"/>
      <c r="O567" s="88"/>
      <c r="P567" s="88"/>
      <c r="Q567" s="88"/>
      <c r="R567" s="88"/>
      <c r="S567" s="88"/>
      <c r="T567" s="88"/>
      <c r="U567" s="88"/>
      <c r="V567" s="88"/>
      <c r="W567" s="88"/>
      <c r="X567" s="88"/>
      <c r="Y567" s="88"/>
      <c r="Z567" s="88"/>
      <c r="AA567" s="88"/>
      <c r="AB567" s="88"/>
      <c r="AC567" s="88"/>
      <c r="AD567" s="88"/>
      <c r="AE567" s="88"/>
    </row>
    <row r="568" spans="12:31" ht="15.75" customHeight="1" x14ac:dyDescent="0.3">
      <c r="L568" s="88"/>
      <c r="M568" s="88"/>
      <c r="N568" s="88"/>
      <c r="O568" s="88"/>
      <c r="P568" s="88"/>
      <c r="Q568" s="88"/>
      <c r="R568" s="88"/>
      <c r="S568" s="88"/>
      <c r="T568" s="88"/>
      <c r="U568" s="88"/>
      <c r="V568" s="88"/>
      <c r="W568" s="88"/>
      <c r="X568" s="88"/>
      <c r="Y568" s="88"/>
      <c r="Z568" s="88"/>
      <c r="AA568" s="88"/>
      <c r="AB568" s="88"/>
      <c r="AC568" s="88"/>
      <c r="AD568" s="88"/>
      <c r="AE568" s="88"/>
    </row>
    <row r="569" spans="12:31" ht="15.75" customHeight="1" x14ac:dyDescent="0.3">
      <c r="L569" s="88"/>
      <c r="M569" s="88"/>
      <c r="N569" s="88"/>
      <c r="O569" s="88"/>
      <c r="P569" s="88"/>
      <c r="Q569" s="88"/>
      <c r="R569" s="88"/>
      <c r="S569" s="88"/>
      <c r="T569" s="88"/>
      <c r="U569" s="88"/>
      <c r="V569" s="88"/>
      <c r="W569" s="88"/>
      <c r="X569" s="88"/>
      <c r="Y569" s="88"/>
      <c r="Z569" s="88"/>
      <c r="AA569" s="88"/>
      <c r="AB569" s="88"/>
      <c r="AC569" s="88"/>
      <c r="AD569" s="88"/>
      <c r="AE569" s="88"/>
    </row>
    <row r="570" spans="12:31" ht="15.75" customHeight="1" x14ac:dyDescent="0.3">
      <c r="L570" s="88"/>
      <c r="M570" s="88"/>
      <c r="N570" s="88"/>
      <c r="O570" s="88"/>
      <c r="P570" s="88"/>
      <c r="Q570" s="88"/>
      <c r="R570" s="88"/>
      <c r="S570" s="88"/>
      <c r="T570" s="88"/>
      <c r="U570" s="88"/>
      <c r="V570" s="88"/>
      <c r="W570" s="88"/>
      <c r="X570" s="88"/>
      <c r="Y570" s="88"/>
      <c r="Z570" s="88"/>
      <c r="AA570" s="88"/>
      <c r="AB570" s="88"/>
      <c r="AC570" s="88"/>
      <c r="AD570" s="88"/>
      <c r="AE570" s="88"/>
    </row>
    <row r="571" spans="12:31" ht="15.75" customHeight="1" x14ac:dyDescent="0.3">
      <c r="L571" s="88"/>
      <c r="M571" s="88"/>
      <c r="N571" s="88"/>
      <c r="O571" s="88"/>
      <c r="P571" s="88"/>
      <c r="Q571" s="88"/>
      <c r="R571" s="88"/>
      <c r="S571" s="88"/>
      <c r="T571" s="88"/>
      <c r="U571" s="88"/>
      <c r="V571" s="88"/>
      <c r="W571" s="88"/>
      <c r="X571" s="88"/>
      <c r="Y571" s="88"/>
      <c r="Z571" s="88"/>
      <c r="AA571" s="88"/>
      <c r="AB571" s="88"/>
      <c r="AC571" s="88"/>
      <c r="AD571" s="88"/>
      <c r="AE571" s="88"/>
    </row>
    <row r="572" spans="12:31" ht="15.75" customHeight="1" x14ac:dyDescent="0.3">
      <c r="L572" s="88"/>
      <c r="M572" s="88"/>
      <c r="N572" s="88"/>
      <c r="O572" s="88"/>
      <c r="P572" s="88"/>
      <c r="Q572" s="88"/>
      <c r="R572" s="88"/>
      <c r="S572" s="88"/>
      <c r="T572" s="88"/>
      <c r="U572" s="88"/>
      <c r="V572" s="88"/>
      <c r="W572" s="88"/>
      <c r="X572" s="88"/>
      <c r="Y572" s="88"/>
      <c r="Z572" s="88"/>
      <c r="AA572" s="88"/>
      <c r="AB572" s="88"/>
      <c r="AC572" s="88"/>
      <c r="AD572" s="88"/>
      <c r="AE572" s="88"/>
    </row>
    <row r="573" spans="12:31" ht="15.75" customHeight="1" x14ac:dyDescent="0.3">
      <c r="L573" s="88"/>
      <c r="M573" s="88"/>
      <c r="N573" s="88"/>
      <c r="O573" s="88"/>
      <c r="P573" s="88"/>
      <c r="Q573" s="88"/>
      <c r="R573" s="88"/>
      <c r="S573" s="88"/>
      <c r="T573" s="88"/>
      <c r="U573" s="88"/>
      <c r="V573" s="88"/>
      <c r="W573" s="88"/>
      <c r="X573" s="88"/>
      <c r="Y573" s="88"/>
      <c r="Z573" s="88"/>
      <c r="AA573" s="88"/>
      <c r="AB573" s="88"/>
      <c r="AC573" s="88"/>
      <c r="AD573" s="88"/>
      <c r="AE573" s="88"/>
    </row>
    <row r="574" spans="12:31" ht="15.75" customHeight="1" x14ac:dyDescent="0.3">
      <c r="L574" s="88"/>
      <c r="M574" s="88"/>
      <c r="N574" s="88"/>
      <c r="O574" s="88"/>
      <c r="P574" s="88"/>
      <c r="Q574" s="88"/>
      <c r="R574" s="88"/>
      <c r="S574" s="88"/>
      <c r="T574" s="88"/>
      <c r="U574" s="88"/>
      <c r="V574" s="88"/>
      <c r="W574" s="88"/>
      <c r="X574" s="88"/>
      <c r="Y574" s="88"/>
      <c r="Z574" s="88"/>
      <c r="AA574" s="88"/>
      <c r="AB574" s="88"/>
      <c r="AC574" s="88"/>
      <c r="AD574" s="88"/>
      <c r="AE574" s="88"/>
    </row>
    <row r="575" spans="12:31" ht="15.75" customHeight="1" x14ac:dyDescent="0.3">
      <c r="L575" s="88"/>
      <c r="M575" s="88"/>
      <c r="N575" s="88"/>
      <c r="O575" s="88"/>
      <c r="P575" s="88"/>
      <c r="Q575" s="88"/>
      <c r="R575" s="88"/>
      <c r="S575" s="88"/>
      <c r="T575" s="88"/>
      <c r="U575" s="88"/>
      <c r="V575" s="88"/>
      <c r="W575" s="88"/>
      <c r="X575" s="88"/>
      <c r="Y575" s="88"/>
      <c r="Z575" s="88"/>
      <c r="AA575" s="88"/>
      <c r="AB575" s="88"/>
      <c r="AC575" s="88"/>
      <c r="AD575" s="88"/>
      <c r="AE575" s="88"/>
    </row>
    <row r="576" spans="12:31" ht="15.75" customHeight="1" x14ac:dyDescent="0.3">
      <c r="L576" s="88"/>
      <c r="M576" s="88"/>
      <c r="N576" s="88"/>
      <c r="O576" s="88"/>
      <c r="P576" s="88"/>
      <c r="Q576" s="88"/>
      <c r="R576" s="88"/>
      <c r="S576" s="88"/>
      <c r="T576" s="88"/>
      <c r="U576" s="88"/>
      <c r="V576" s="88"/>
      <c r="W576" s="88"/>
      <c r="X576" s="88"/>
      <c r="Y576" s="88"/>
      <c r="Z576" s="88"/>
      <c r="AA576" s="88"/>
      <c r="AB576" s="88"/>
      <c r="AC576" s="88"/>
      <c r="AD576" s="88"/>
      <c r="AE576" s="88"/>
    </row>
    <row r="577" spans="12:31" ht="15.75" customHeight="1" x14ac:dyDescent="0.3">
      <c r="L577" s="88"/>
      <c r="M577" s="88"/>
      <c r="N577" s="88"/>
      <c r="O577" s="88"/>
      <c r="P577" s="88"/>
      <c r="Q577" s="88"/>
      <c r="R577" s="88"/>
      <c r="S577" s="88"/>
      <c r="T577" s="88"/>
      <c r="U577" s="88"/>
      <c r="V577" s="88"/>
      <c r="W577" s="88"/>
      <c r="X577" s="88"/>
      <c r="Y577" s="88"/>
      <c r="Z577" s="88"/>
      <c r="AA577" s="88"/>
      <c r="AB577" s="88"/>
      <c r="AC577" s="88"/>
      <c r="AD577" s="88"/>
      <c r="AE577" s="88"/>
    </row>
    <row r="578" spans="12:31" ht="15.75" customHeight="1" x14ac:dyDescent="0.3">
      <c r="L578" s="88"/>
      <c r="M578" s="88"/>
      <c r="N578" s="88"/>
      <c r="O578" s="88"/>
      <c r="P578" s="88"/>
      <c r="Q578" s="88"/>
      <c r="R578" s="88"/>
      <c r="S578" s="88"/>
      <c r="T578" s="88"/>
      <c r="U578" s="88"/>
      <c r="V578" s="88"/>
      <c r="W578" s="88"/>
      <c r="X578" s="88"/>
      <c r="Y578" s="88"/>
      <c r="Z578" s="88"/>
      <c r="AA578" s="88"/>
      <c r="AB578" s="88"/>
      <c r="AC578" s="88"/>
      <c r="AD578" s="88"/>
      <c r="AE578" s="88"/>
    </row>
    <row r="579" spans="12:31" ht="15.75" customHeight="1" x14ac:dyDescent="0.3">
      <c r="L579" s="88"/>
      <c r="M579" s="88"/>
      <c r="N579" s="88"/>
      <c r="O579" s="88"/>
      <c r="P579" s="88"/>
      <c r="Q579" s="88"/>
      <c r="R579" s="88"/>
      <c r="S579" s="88"/>
      <c r="T579" s="88"/>
      <c r="U579" s="88"/>
      <c r="V579" s="88"/>
      <c r="W579" s="88"/>
      <c r="X579" s="88"/>
      <c r="Y579" s="88"/>
      <c r="Z579" s="88"/>
      <c r="AA579" s="88"/>
      <c r="AB579" s="88"/>
      <c r="AC579" s="88"/>
      <c r="AD579" s="88"/>
      <c r="AE579" s="88"/>
    </row>
    <row r="580" spans="12:31" ht="15.75" customHeight="1" x14ac:dyDescent="0.3">
      <c r="L580" s="88"/>
      <c r="M580" s="88"/>
      <c r="N580" s="88"/>
      <c r="O580" s="88"/>
      <c r="P580" s="88"/>
      <c r="Q580" s="88"/>
      <c r="R580" s="88"/>
      <c r="S580" s="88"/>
      <c r="T580" s="88"/>
      <c r="U580" s="88"/>
      <c r="V580" s="88"/>
      <c r="W580" s="88"/>
      <c r="X580" s="88"/>
      <c r="Y580" s="88"/>
      <c r="Z580" s="88"/>
      <c r="AA580" s="88"/>
      <c r="AB580" s="88"/>
      <c r="AC580" s="88"/>
      <c r="AD580" s="88"/>
      <c r="AE580" s="88"/>
    </row>
    <row r="581" spans="12:31" ht="15.75" customHeight="1" x14ac:dyDescent="0.3">
      <c r="L581" s="88"/>
      <c r="M581" s="88"/>
      <c r="N581" s="88"/>
      <c r="O581" s="88"/>
      <c r="P581" s="88"/>
      <c r="Q581" s="88"/>
      <c r="R581" s="88"/>
      <c r="S581" s="88"/>
      <c r="T581" s="88"/>
      <c r="U581" s="88"/>
      <c r="V581" s="88"/>
      <c r="W581" s="88"/>
      <c r="X581" s="88"/>
      <c r="Y581" s="88"/>
      <c r="Z581" s="88"/>
      <c r="AA581" s="88"/>
      <c r="AB581" s="88"/>
      <c r="AC581" s="88"/>
      <c r="AD581" s="88"/>
      <c r="AE581" s="88"/>
    </row>
    <row r="582" spans="12:31" ht="15.75" customHeight="1" x14ac:dyDescent="0.3">
      <c r="L582" s="88"/>
      <c r="M582" s="88"/>
      <c r="N582" s="88"/>
      <c r="O582" s="88"/>
      <c r="P582" s="88"/>
      <c r="Q582" s="88"/>
      <c r="R582" s="88"/>
      <c r="S582" s="88"/>
      <c r="T582" s="88"/>
      <c r="U582" s="88"/>
      <c r="V582" s="88"/>
      <c r="W582" s="88"/>
      <c r="X582" s="88"/>
      <c r="Y582" s="88"/>
      <c r="Z582" s="88"/>
      <c r="AA582" s="88"/>
      <c r="AB582" s="88"/>
      <c r="AC582" s="88"/>
      <c r="AD582" s="88"/>
      <c r="AE582" s="88"/>
    </row>
    <row r="583" spans="12:31" ht="15.75" customHeight="1" x14ac:dyDescent="0.3">
      <c r="L583" s="88"/>
      <c r="M583" s="88"/>
      <c r="N583" s="88"/>
      <c r="O583" s="88"/>
      <c r="P583" s="88"/>
      <c r="Q583" s="88"/>
      <c r="R583" s="88"/>
      <c r="S583" s="88"/>
      <c r="T583" s="88"/>
      <c r="U583" s="88"/>
      <c r="V583" s="88"/>
      <c r="W583" s="88"/>
      <c r="X583" s="88"/>
      <c r="Y583" s="88"/>
      <c r="Z583" s="88"/>
      <c r="AA583" s="88"/>
      <c r="AB583" s="88"/>
      <c r="AC583" s="88"/>
      <c r="AD583" s="88"/>
      <c r="AE583" s="88"/>
    </row>
    <row r="584" spans="12:31" ht="15.75" customHeight="1" x14ac:dyDescent="0.3">
      <c r="L584" s="88"/>
      <c r="M584" s="88"/>
      <c r="N584" s="88"/>
      <c r="O584" s="88"/>
      <c r="P584" s="88"/>
      <c r="Q584" s="88"/>
      <c r="R584" s="88"/>
      <c r="S584" s="88"/>
      <c r="T584" s="88"/>
      <c r="U584" s="88"/>
      <c r="V584" s="88"/>
      <c r="W584" s="88"/>
      <c r="X584" s="88"/>
      <c r="Y584" s="88"/>
      <c r="Z584" s="88"/>
      <c r="AA584" s="88"/>
      <c r="AB584" s="88"/>
      <c r="AC584" s="88"/>
      <c r="AD584" s="88"/>
      <c r="AE584" s="88"/>
    </row>
    <row r="585" spans="12:31" ht="15.75" customHeight="1" x14ac:dyDescent="0.3">
      <c r="L585" s="88"/>
      <c r="M585" s="88"/>
      <c r="N585" s="88"/>
      <c r="O585" s="88"/>
      <c r="P585" s="88"/>
      <c r="Q585" s="88"/>
      <c r="R585" s="88"/>
      <c r="S585" s="88"/>
      <c r="T585" s="88"/>
      <c r="U585" s="88"/>
      <c r="V585" s="88"/>
      <c r="W585" s="88"/>
      <c r="X585" s="88"/>
      <c r="Y585" s="88"/>
      <c r="Z585" s="88"/>
      <c r="AA585" s="88"/>
      <c r="AB585" s="88"/>
      <c r="AC585" s="88"/>
      <c r="AD585" s="88"/>
      <c r="AE585" s="88"/>
    </row>
    <row r="586" spans="12:31" ht="15.75" customHeight="1" x14ac:dyDescent="0.3">
      <c r="L586" s="88"/>
      <c r="M586" s="88"/>
      <c r="N586" s="88"/>
      <c r="O586" s="88"/>
      <c r="P586" s="88"/>
      <c r="Q586" s="88"/>
      <c r="R586" s="88"/>
      <c r="S586" s="88"/>
      <c r="T586" s="88"/>
      <c r="U586" s="88"/>
      <c r="V586" s="88"/>
      <c r="W586" s="88"/>
      <c r="X586" s="88"/>
      <c r="Y586" s="88"/>
      <c r="Z586" s="88"/>
      <c r="AA586" s="88"/>
      <c r="AB586" s="88"/>
      <c r="AC586" s="88"/>
      <c r="AD586" s="88"/>
      <c r="AE586" s="88"/>
    </row>
    <row r="587" spans="12:31" ht="15.75" customHeight="1" x14ac:dyDescent="0.3">
      <c r="L587" s="88"/>
      <c r="M587" s="88"/>
      <c r="N587" s="88"/>
      <c r="O587" s="88"/>
      <c r="P587" s="88"/>
      <c r="Q587" s="88"/>
      <c r="R587" s="88"/>
      <c r="S587" s="88"/>
      <c r="T587" s="88"/>
      <c r="U587" s="88"/>
      <c r="V587" s="88"/>
      <c r="W587" s="88"/>
      <c r="X587" s="88"/>
      <c r="Y587" s="88"/>
      <c r="Z587" s="88"/>
      <c r="AA587" s="88"/>
      <c r="AB587" s="88"/>
      <c r="AC587" s="88"/>
      <c r="AD587" s="88"/>
      <c r="AE587" s="88"/>
    </row>
    <row r="588" spans="12:31" ht="15.75" customHeight="1" x14ac:dyDescent="0.3">
      <c r="L588" s="88"/>
      <c r="M588" s="88"/>
      <c r="N588" s="88"/>
      <c r="O588" s="88"/>
      <c r="P588" s="88"/>
      <c r="Q588" s="88"/>
      <c r="R588" s="88"/>
      <c r="S588" s="88"/>
      <c r="T588" s="88"/>
      <c r="U588" s="88"/>
      <c r="V588" s="88"/>
      <c r="W588" s="88"/>
      <c r="X588" s="88"/>
      <c r="Y588" s="88"/>
      <c r="Z588" s="88"/>
      <c r="AA588" s="88"/>
      <c r="AB588" s="88"/>
      <c r="AC588" s="88"/>
      <c r="AD588" s="88"/>
      <c r="AE588" s="88"/>
    </row>
    <row r="589" spans="12:31" ht="15.75" customHeight="1" x14ac:dyDescent="0.3">
      <c r="L589" s="88"/>
      <c r="M589" s="88"/>
      <c r="N589" s="88"/>
      <c r="O589" s="88"/>
      <c r="P589" s="88"/>
      <c r="Q589" s="88"/>
      <c r="R589" s="88"/>
      <c r="S589" s="88"/>
      <c r="T589" s="88"/>
      <c r="U589" s="88"/>
      <c r="V589" s="88"/>
      <c r="W589" s="88"/>
      <c r="X589" s="88"/>
      <c r="Y589" s="88"/>
      <c r="Z589" s="88"/>
      <c r="AA589" s="88"/>
      <c r="AB589" s="88"/>
      <c r="AC589" s="88"/>
      <c r="AD589" s="88"/>
      <c r="AE589" s="88"/>
    </row>
    <row r="590" spans="12:31" ht="15.75" customHeight="1" x14ac:dyDescent="0.3">
      <c r="L590" s="88"/>
      <c r="M590" s="88"/>
      <c r="N590" s="88"/>
      <c r="O590" s="88"/>
      <c r="P590" s="88"/>
      <c r="Q590" s="88"/>
      <c r="R590" s="88"/>
      <c r="S590" s="88"/>
      <c r="T590" s="88"/>
      <c r="U590" s="88"/>
      <c r="V590" s="88"/>
      <c r="W590" s="88"/>
      <c r="X590" s="88"/>
      <c r="Y590" s="88"/>
      <c r="Z590" s="88"/>
      <c r="AA590" s="88"/>
      <c r="AB590" s="88"/>
      <c r="AC590" s="88"/>
      <c r="AD590" s="88"/>
      <c r="AE590" s="88"/>
    </row>
    <row r="591" spans="12:31" ht="15.75" customHeight="1" x14ac:dyDescent="0.3">
      <c r="L591" s="88"/>
      <c r="M591" s="88"/>
      <c r="N591" s="88"/>
      <c r="O591" s="88"/>
      <c r="P591" s="88"/>
      <c r="Q591" s="88"/>
      <c r="R591" s="88"/>
      <c r="S591" s="88"/>
      <c r="T591" s="88"/>
      <c r="U591" s="88"/>
      <c r="V591" s="88"/>
      <c r="W591" s="88"/>
      <c r="X591" s="88"/>
      <c r="Y591" s="88"/>
      <c r="Z591" s="88"/>
      <c r="AA591" s="88"/>
      <c r="AB591" s="88"/>
      <c r="AC591" s="88"/>
      <c r="AD591" s="88"/>
      <c r="AE591" s="88"/>
    </row>
    <row r="592" spans="12:31" ht="15.75" customHeight="1" x14ac:dyDescent="0.3">
      <c r="L592" s="88"/>
      <c r="M592" s="88"/>
      <c r="N592" s="88"/>
      <c r="O592" s="88"/>
      <c r="P592" s="88"/>
      <c r="Q592" s="88"/>
      <c r="R592" s="88"/>
      <c r="S592" s="88"/>
      <c r="T592" s="88"/>
      <c r="U592" s="88"/>
      <c r="V592" s="88"/>
      <c r="W592" s="88"/>
      <c r="X592" s="88"/>
      <c r="Y592" s="88"/>
      <c r="Z592" s="88"/>
      <c r="AA592" s="88"/>
      <c r="AB592" s="88"/>
      <c r="AC592" s="88"/>
      <c r="AD592" s="88"/>
      <c r="AE592" s="88"/>
    </row>
    <row r="593" spans="12:31" ht="15.75" customHeight="1" x14ac:dyDescent="0.3">
      <c r="L593" s="88"/>
      <c r="M593" s="88"/>
      <c r="N593" s="88"/>
      <c r="O593" s="88"/>
      <c r="P593" s="88"/>
      <c r="Q593" s="88"/>
      <c r="R593" s="88"/>
      <c r="S593" s="88"/>
      <c r="T593" s="88"/>
      <c r="U593" s="88"/>
      <c r="V593" s="88"/>
      <c r="W593" s="88"/>
      <c r="X593" s="88"/>
      <c r="Y593" s="88"/>
      <c r="Z593" s="88"/>
      <c r="AA593" s="88"/>
      <c r="AB593" s="88"/>
      <c r="AC593" s="88"/>
      <c r="AD593" s="88"/>
      <c r="AE593" s="88"/>
    </row>
    <row r="594" spans="12:31" ht="15.75" customHeight="1" x14ac:dyDescent="0.3">
      <c r="L594" s="88"/>
      <c r="M594" s="88"/>
      <c r="N594" s="88"/>
      <c r="O594" s="88"/>
      <c r="P594" s="88"/>
      <c r="Q594" s="88"/>
      <c r="R594" s="88"/>
      <c r="S594" s="88"/>
      <c r="T594" s="88"/>
      <c r="U594" s="88"/>
      <c r="V594" s="88"/>
      <c r="W594" s="88"/>
      <c r="X594" s="88"/>
      <c r="Y594" s="88"/>
      <c r="Z594" s="88"/>
      <c r="AA594" s="88"/>
      <c r="AB594" s="88"/>
      <c r="AC594" s="88"/>
      <c r="AD594" s="88"/>
      <c r="AE594" s="88"/>
    </row>
    <row r="595" spans="12:31" ht="15.75" customHeight="1" x14ac:dyDescent="0.3">
      <c r="L595" s="88"/>
      <c r="M595" s="88"/>
      <c r="N595" s="88"/>
      <c r="O595" s="88"/>
      <c r="P595" s="88"/>
      <c r="Q595" s="88"/>
      <c r="R595" s="88"/>
      <c r="S595" s="88"/>
      <c r="T595" s="88"/>
      <c r="U595" s="88"/>
      <c r="V595" s="88"/>
      <c r="W595" s="88"/>
      <c r="X595" s="88"/>
      <c r="Y595" s="88"/>
      <c r="Z595" s="88"/>
      <c r="AA595" s="88"/>
      <c r="AB595" s="88"/>
      <c r="AC595" s="88"/>
      <c r="AD595" s="88"/>
      <c r="AE595" s="88"/>
    </row>
    <row r="596" spans="12:31" ht="15.75" customHeight="1" x14ac:dyDescent="0.3">
      <c r="L596" s="88"/>
      <c r="M596" s="88"/>
      <c r="N596" s="88"/>
      <c r="O596" s="88"/>
      <c r="P596" s="88"/>
      <c r="Q596" s="88"/>
      <c r="R596" s="88"/>
      <c r="S596" s="88"/>
      <c r="T596" s="88"/>
      <c r="U596" s="88"/>
      <c r="V596" s="88"/>
      <c r="W596" s="88"/>
      <c r="X596" s="88"/>
      <c r="Y596" s="88"/>
      <c r="Z596" s="88"/>
      <c r="AA596" s="88"/>
      <c r="AB596" s="88"/>
      <c r="AC596" s="88"/>
      <c r="AD596" s="88"/>
      <c r="AE596" s="88"/>
    </row>
    <row r="597" spans="12:31" ht="15.75" customHeight="1" x14ac:dyDescent="0.3">
      <c r="L597" s="88"/>
      <c r="M597" s="88"/>
      <c r="N597" s="88"/>
      <c r="O597" s="88"/>
      <c r="P597" s="88"/>
      <c r="Q597" s="88"/>
      <c r="R597" s="88"/>
      <c r="S597" s="88"/>
      <c r="T597" s="88"/>
      <c r="U597" s="88"/>
      <c r="V597" s="88"/>
      <c r="W597" s="88"/>
      <c r="X597" s="88"/>
      <c r="Y597" s="88"/>
      <c r="Z597" s="88"/>
      <c r="AA597" s="88"/>
      <c r="AB597" s="88"/>
      <c r="AC597" s="88"/>
      <c r="AD597" s="88"/>
      <c r="AE597" s="88"/>
    </row>
    <row r="598" spans="12:31" ht="15.75" customHeight="1" x14ac:dyDescent="0.3">
      <c r="L598" s="88"/>
      <c r="M598" s="88"/>
      <c r="N598" s="88"/>
      <c r="O598" s="88"/>
      <c r="P598" s="88"/>
      <c r="Q598" s="88"/>
      <c r="R598" s="88"/>
      <c r="S598" s="88"/>
      <c r="T598" s="88"/>
      <c r="U598" s="88"/>
      <c r="V598" s="88"/>
      <c r="W598" s="88"/>
      <c r="X598" s="88"/>
      <c r="Y598" s="88"/>
      <c r="Z598" s="88"/>
      <c r="AA598" s="88"/>
      <c r="AB598" s="88"/>
      <c r="AC598" s="88"/>
      <c r="AD598" s="88"/>
      <c r="AE598" s="88"/>
    </row>
    <row r="599" spans="12:31" ht="15.75" customHeight="1" x14ac:dyDescent="0.3">
      <c r="L599" s="88"/>
      <c r="M599" s="88"/>
      <c r="N599" s="88"/>
      <c r="O599" s="88"/>
      <c r="P599" s="88"/>
      <c r="Q599" s="88"/>
      <c r="R599" s="88"/>
      <c r="S599" s="88"/>
      <c r="T599" s="88"/>
      <c r="U599" s="88"/>
      <c r="V599" s="88"/>
      <c r="W599" s="88"/>
      <c r="X599" s="88"/>
      <c r="Y599" s="88"/>
      <c r="Z599" s="88"/>
      <c r="AA599" s="88"/>
      <c r="AB599" s="88"/>
      <c r="AC599" s="88"/>
      <c r="AD599" s="88"/>
      <c r="AE599" s="88"/>
    </row>
    <row r="600" spans="12:31" ht="15.75" customHeight="1" x14ac:dyDescent="0.3">
      <c r="L600" s="88"/>
      <c r="M600" s="88"/>
      <c r="N600" s="88"/>
      <c r="O600" s="88"/>
      <c r="P600" s="88"/>
      <c r="Q600" s="88"/>
      <c r="R600" s="88"/>
      <c r="S600" s="88"/>
      <c r="T600" s="88"/>
      <c r="U600" s="88"/>
      <c r="V600" s="88"/>
      <c r="W600" s="88"/>
      <c r="X600" s="88"/>
      <c r="Y600" s="88"/>
      <c r="Z600" s="88"/>
      <c r="AA600" s="88"/>
      <c r="AB600" s="88"/>
      <c r="AC600" s="88"/>
      <c r="AD600" s="88"/>
      <c r="AE600" s="88"/>
    </row>
    <row r="601" spans="12:31" ht="15.75" customHeight="1" x14ac:dyDescent="0.3">
      <c r="L601" s="88"/>
      <c r="M601" s="88"/>
      <c r="N601" s="88"/>
      <c r="O601" s="88"/>
      <c r="P601" s="88"/>
      <c r="Q601" s="88"/>
      <c r="R601" s="88"/>
      <c r="S601" s="88"/>
      <c r="T601" s="88"/>
      <c r="U601" s="88"/>
      <c r="V601" s="88"/>
      <c r="W601" s="88"/>
      <c r="X601" s="88"/>
      <c r="Y601" s="88"/>
      <c r="Z601" s="88"/>
      <c r="AA601" s="88"/>
      <c r="AB601" s="88"/>
      <c r="AC601" s="88"/>
      <c r="AD601" s="88"/>
      <c r="AE601" s="88"/>
    </row>
    <row r="602" spans="12:31" ht="15.75" customHeight="1" x14ac:dyDescent="0.3">
      <c r="L602" s="88"/>
      <c r="M602" s="88"/>
      <c r="N602" s="88"/>
      <c r="O602" s="88"/>
      <c r="P602" s="88"/>
      <c r="Q602" s="88"/>
      <c r="R602" s="88"/>
      <c r="S602" s="88"/>
      <c r="T602" s="88"/>
      <c r="U602" s="88"/>
      <c r="V602" s="88"/>
      <c r="W602" s="88"/>
      <c r="X602" s="88"/>
      <c r="Y602" s="88"/>
      <c r="Z602" s="88"/>
      <c r="AA602" s="88"/>
      <c r="AB602" s="88"/>
      <c r="AC602" s="88"/>
      <c r="AD602" s="88"/>
      <c r="AE602" s="88"/>
    </row>
    <row r="603" spans="12:31" ht="15.75" customHeight="1" x14ac:dyDescent="0.3">
      <c r="L603" s="88"/>
      <c r="M603" s="88"/>
      <c r="N603" s="88"/>
      <c r="O603" s="88"/>
      <c r="P603" s="88"/>
      <c r="Q603" s="88"/>
      <c r="R603" s="88"/>
      <c r="S603" s="88"/>
      <c r="T603" s="88"/>
      <c r="U603" s="88"/>
      <c r="V603" s="88"/>
      <c r="W603" s="88"/>
      <c r="X603" s="88"/>
      <c r="Y603" s="88"/>
      <c r="Z603" s="88"/>
      <c r="AA603" s="88"/>
      <c r="AB603" s="88"/>
      <c r="AC603" s="88"/>
      <c r="AD603" s="88"/>
      <c r="AE603" s="88"/>
    </row>
    <row r="604" spans="12:31" ht="15.75" customHeight="1" x14ac:dyDescent="0.3">
      <c r="L604" s="88"/>
      <c r="M604" s="88"/>
      <c r="N604" s="88"/>
      <c r="O604" s="88"/>
      <c r="P604" s="88"/>
      <c r="Q604" s="88"/>
      <c r="R604" s="88"/>
      <c r="S604" s="88"/>
      <c r="T604" s="88"/>
      <c r="U604" s="88"/>
      <c r="V604" s="88"/>
      <c r="W604" s="88"/>
      <c r="X604" s="88"/>
      <c r="Y604" s="88"/>
      <c r="Z604" s="88"/>
      <c r="AA604" s="88"/>
      <c r="AB604" s="88"/>
      <c r="AC604" s="88"/>
      <c r="AD604" s="88"/>
      <c r="AE604" s="88"/>
    </row>
    <row r="605" spans="12:31" ht="15.75" customHeight="1" x14ac:dyDescent="0.3">
      <c r="L605" s="88"/>
      <c r="M605" s="88"/>
      <c r="N605" s="88"/>
      <c r="O605" s="88"/>
      <c r="P605" s="88"/>
      <c r="Q605" s="88"/>
      <c r="R605" s="88"/>
      <c r="S605" s="88"/>
      <c r="T605" s="88"/>
      <c r="U605" s="88"/>
      <c r="V605" s="88"/>
      <c r="W605" s="88"/>
      <c r="X605" s="88"/>
      <c r="Y605" s="88"/>
      <c r="Z605" s="88"/>
      <c r="AA605" s="88"/>
      <c r="AB605" s="88"/>
      <c r="AC605" s="88"/>
      <c r="AD605" s="88"/>
      <c r="AE605" s="88"/>
    </row>
    <row r="606" spans="12:31" ht="15.75" customHeight="1" x14ac:dyDescent="0.3">
      <c r="L606" s="88"/>
      <c r="M606" s="88"/>
      <c r="N606" s="88"/>
      <c r="O606" s="88"/>
      <c r="P606" s="88"/>
      <c r="Q606" s="88"/>
      <c r="R606" s="88"/>
      <c r="S606" s="88"/>
      <c r="T606" s="88"/>
      <c r="U606" s="88"/>
      <c r="V606" s="88"/>
      <c r="W606" s="88"/>
      <c r="X606" s="88"/>
      <c r="Y606" s="88"/>
      <c r="Z606" s="88"/>
      <c r="AA606" s="88"/>
      <c r="AB606" s="88"/>
      <c r="AC606" s="88"/>
      <c r="AD606" s="88"/>
      <c r="AE606" s="88"/>
    </row>
    <row r="607" spans="12:31" ht="15.75" customHeight="1" x14ac:dyDescent="0.3">
      <c r="L607" s="88"/>
      <c r="M607" s="88"/>
      <c r="N607" s="88"/>
      <c r="O607" s="88"/>
      <c r="P607" s="88"/>
      <c r="Q607" s="88"/>
      <c r="R607" s="88"/>
      <c r="S607" s="88"/>
      <c r="T607" s="88"/>
      <c r="U607" s="88"/>
      <c r="V607" s="88"/>
      <c r="W607" s="88"/>
      <c r="X607" s="88"/>
      <c r="Y607" s="88"/>
      <c r="Z607" s="88"/>
      <c r="AA607" s="88"/>
      <c r="AB607" s="88"/>
      <c r="AC607" s="88"/>
      <c r="AD607" s="88"/>
      <c r="AE607" s="88"/>
    </row>
    <row r="608" spans="12:31" ht="15.75" customHeight="1" x14ac:dyDescent="0.3">
      <c r="L608" s="88"/>
      <c r="M608" s="88"/>
      <c r="N608" s="88"/>
      <c r="O608" s="88"/>
      <c r="P608" s="88"/>
      <c r="Q608" s="88"/>
      <c r="R608" s="88"/>
      <c r="S608" s="88"/>
      <c r="T608" s="88"/>
      <c r="U608" s="88"/>
      <c r="V608" s="88"/>
      <c r="W608" s="88"/>
      <c r="X608" s="88"/>
      <c r="Y608" s="88"/>
      <c r="Z608" s="88"/>
      <c r="AA608" s="88"/>
      <c r="AB608" s="88"/>
      <c r="AC608" s="88"/>
      <c r="AD608" s="88"/>
      <c r="AE608" s="88"/>
    </row>
    <row r="609" spans="12:31" ht="15.75" customHeight="1" x14ac:dyDescent="0.3">
      <c r="L609" s="88"/>
      <c r="M609" s="88"/>
      <c r="N609" s="88"/>
      <c r="O609" s="88"/>
      <c r="P609" s="88"/>
      <c r="Q609" s="88"/>
      <c r="R609" s="88"/>
      <c r="S609" s="88"/>
      <c r="T609" s="88"/>
      <c r="U609" s="88"/>
      <c r="V609" s="88"/>
      <c r="W609" s="88"/>
      <c r="X609" s="88"/>
      <c r="Y609" s="88"/>
      <c r="Z609" s="88"/>
      <c r="AA609" s="88"/>
      <c r="AB609" s="88"/>
      <c r="AC609" s="88"/>
      <c r="AD609" s="88"/>
      <c r="AE609" s="88"/>
    </row>
    <row r="610" spans="12:31" ht="15.75" customHeight="1" x14ac:dyDescent="0.3">
      <c r="L610" s="88"/>
      <c r="M610" s="88"/>
      <c r="N610" s="88"/>
      <c r="O610" s="88"/>
      <c r="P610" s="88"/>
      <c r="Q610" s="88"/>
      <c r="R610" s="88"/>
      <c r="S610" s="88"/>
      <c r="T610" s="88"/>
      <c r="U610" s="88"/>
      <c r="V610" s="88"/>
      <c r="W610" s="88"/>
      <c r="X610" s="88"/>
      <c r="Y610" s="88"/>
      <c r="Z610" s="88"/>
      <c r="AA610" s="88"/>
      <c r="AB610" s="88"/>
      <c r="AC610" s="88"/>
      <c r="AD610" s="88"/>
      <c r="AE610" s="88"/>
    </row>
    <row r="611" spans="12:31" ht="15.75" customHeight="1" x14ac:dyDescent="0.3">
      <c r="L611" s="88"/>
      <c r="M611" s="88"/>
      <c r="N611" s="88"/>
      <c r="O611" s="88"/>
      <c r="P611" s="88"/>
      <c r="Q611" s="88"/>
      <c r="R611" s="88"/>
      <c r="S611" s="88"/>
      <c r="T611" s="88"/>
      <c r="U611" s="88"/>
      <c r="V611" s="88"/>
      <c r="W611" s="88"/>
      <c r="X611" s="88"/>
      <c r="Y611" s="88"/>
      <c r="Z611" s="88"/>
      <c r="AA611" s="88"/>
      <c r="AB611" s="88"/>
      <c r="AC611" s="88"/>
      <c r="AD611" s="88"/>
      <c r="AE611" s="88"/>
    </row>
    <row r="612" spans="12:31" ht="15.75" customHeight="1" x14ac:dyDescent="0.3">
      <c r="L612" s="88"/>
      <c r="M612" s="88"/>
      <c r="N612" s="88"/>
      <c r="O612" s="88"/>
      <c r="P612" s="88"/>
      <c r="Q612" s="88"/>
      <c r="R612" s="88"/>
      <c r="S612" s="88"/>
      <c r="T612" s="88"/>
      <c r="U612" s="88"/>
      <c r="V612" s="88"/>
      <c r="W612" s="88"/>
      <c r="X612" s="88"/>
      <c r="Y612" s="88"/>
      <c r="Z612" s="88"/>
      <c r="AA612" s="88"/>
      <c r="AB612" s="88"/>
      <c r="AC612" s="88"/>
      <c r="AD612" s="88"/>
      <c r="AE612" s="88"/>
    </row>
    <row r="613" spans="12:31" ht="15.75" customHeight="1" x14ac:dyDescent="0.3">
      <c r="L613" s="88"/>
      <c r="M613" s="88"/>
      <c r="N613" s="88"/>
      <c r="O613" s="88"/>
      <c r="P613" s="88"/>
      <c r="Q613" s="88"/>
      <c r="R613" s="88"/>
      <c r="S613" s="88"/>
      <c r="T613" s="88"/>
      <c r="U613" s="88"/>
      <c r="V613" s="88"/>
      <c r="W613" s="88"/>
      <c r="X613" s="88"/>
      <c r="Y613" s="88"/>
      <c r="Z613" s="88"/>
      <c r="AA613" s="88"/>
      <c r="AB613" s="88"/>
      <c r="AC613" s="88"/>
      <c r="AD613" s="88"/>
      <c r="AE613" s="88"/>
    </row>
    <row r="614" spans="12:31" ht="15.75" customHeight="1" x14ac:dyDescent="0.3">
      <c r="L614" s="88"/>
      <c r="M614" s="88"/>
      <c r="N614" s="88"/>
      <c r="O614" s="88"/>
      <c r="P614" s="88"/>
      <c r="Q614" s="88"/>
      <c r="R614" s="88"/>
      <c r="S614" s="88"/>
      <c r="T614" s="88"/>
      <c r="U614" s="88"/>
      <c r="V614" s="88"/>
      <c r="W614" s="88"/>
      <c r="X614" s="88"/>
      <c r="Y614" s="88"/>
      <c r="Z614" s="88"/>
      <c r="AA614" s="88"/>
      <c r="AB614" s="88"/>
      <c r="AC614" s="88"/>
      <c r="AD614" s="88"/>
      <c r="AE614" s="88"/>
    </row>
    <row r="615" spans="12:31" ht="15.75" customHeight="1" x14ac:dyDescent="0.3">
      <c r="L615" s="88"/>
      <c r="M615" s="88"/>
      <c r="N615" s="88"/>
      <c r="O615" s="88"/>
      <c r="P615" s="88"/>
      <c r="Q615" s="88"/>
      <c r="R615" s="88"/>
      <c r="S615" s="88"/>
      <c r="T615" s="88"/>
      <c r="U615" s="88"/>
      <c r="V615" s="88"/>
      <c r="W615" s="88"/>
      <c r="X615" s="88"/>
      <c r="Y615" s="88"/>
      <c r="Z615" s="88"/>
      <c r="AA615" s="88"/>
      <c r="AB615" s="88"/>
      <c r="AC615" s="88"/>
      <c r="AD615" s="88"/>
      <c r="AE615" s="88"/>
    </row>
    <row r="616" spans="12:31" ht="15.75" customHeight="1" x14ac:dyDescent="0.3">
      <c r="L616" s="88"/>
      <c r="M616" s="88"/>
      <c r="N616" s="88"/>
      <c r="O616" s="88"/>
      <c r="P616" s="88"/>
      <c r="Q616" s="88"/>
      <c r="R616" s="88"/>
      <c r="S616" s="88"/>
      <c r="T616" s="88"/>
      <c r="U616" s="88"/>
      <c r="V616" s="88"/>
      <c r="W616" s="88"/>
      <c r="X616" s="88"/>
      <c r="Y616" s="88"/>
      <c r="Z616" s="88"/>
      <c r="AA616" s="88"/>
      <c r="AB616" s="88"/>
      <c r="AC616" s="88"/>
      <c r="AD616" s="88"/>
      <c r="AE616" s="88"/>
    </row>
    <row r="617" spans="12:31" ht="15.75" customHeight="1" x14ac:dyDescent="0.3">
      <c r="L617" s="88"/>
      <c r="M617" s="88"/>
      <c r="N617" s="88"/>
      <c r="O617" s="88"/>
      <c r="P617" s="88"/>
      <c r="Q617" s="88"/>
      <c r="R617" s="88"/>
      <c r="S617" s="88"/>
      <c r="T617" s="88"/>
      <c r="U617" s="88"/>
      <c r="V617" s="88"/>
      <c r="W617" s="88"/>
      <c r="X617" s="88"/>
      <c r="Y617" s="88"/>
      <c r="Z617" s="88"/>
      <c r="AA617" s="88"/>
      <c r="AB617" s="88"/>
      <c r="AC617" s="88"/>
      <c r="AD617" s="88"/>
      <c r="AE617" s="88"/>
    </row>
    <row r="618" spans="12:31" ht="15.75" customHeight="1" x14ac:dyDescent="0.3">
      <c r="L618" s="88"/>
      <c r="M618" s="88"/>
      <c r="N618" s="88"/>
      <c r="O618" s="88"/>
      <c r="P618" s="88"/>
      <c r="Q618" s="88"/>
      <c r="R618" s="88"/>
      <c r="S618" s="88"/>
      <c r="T618" s="88"/>
      <c r="U618" s="88"/>
      <c r="V618" s="88"/>
      <c r="W618" s="88"/>
      <c r="X618" s="88"/>
      <c r="Y618" s="88"/>
      <c r="Z618" s="88"/>
      <c r="AA618" s="88"/>
      <c r="AB618" s="88"/>
      <c r="AC618" s="88"/>
      <c r="AD618" s="88"/>
      <c r="AE618" s="88"/>
    </row>
    <row r="619" spans="12:31" ht="15.75" customHeight="1" x14ac:dyDescent="0.3">
      <c r="L619" s="88"/>
      <c r="M619" s="88"/>
      <c r="N619" s="88"/>
      <c r="O619" s="88"/>
      <c r="P619" s="88"/>
      <c r="Q619" s="88"/>
      <c r="R619" s="88"/>
      <c r="S619" s="88"/>
      <c r="T619" s="88"/>
      <c r="U619" s="88"/>
      <c r="V619" s="88"/>
      <c r="W619" s="88"/>
      <c r="X619" s="88"/>
      <c r="Y619" s="88"/>
      <c r="Z619" s="88"/>
      <c r="AA619" s="88"/>
      <c r="AB619" s="88"/>
      <c r="AC619" s="88"/>
      <c r="AD619" s="88"/>
      <c r="AE619" s="88"/>
    </row>
    <row r="620" spans="12:31" ht="15.75" customHeight="1" x14ac:dyDescent="0.3">
      <c r="L620" s="88"/>
      <c r="M620" s="88"/>
      <c r="N620" s="88"/>
      <c r="O620" s="88"/>
      <c r="P620" s="88"/>
      <c r="Q620" s="88"/>
      <c r="R620" s="88"/>
      <c r="S620" s="88"/>
      <c r="T620" s="88"/>
      <c r="U620" s="88"/>
      <c r="V620" s="88"/>
      <c r="W620" s="88"/>
      <c r="X620" s="88"/>
      <c r="Y620" s="88"/>
      <c r="Z620" s="88"/>
      <c r="AA620" s="88"/>
      <c r="AB620" s="88"/>
      <c r="AC620" s="88"/>
      <c r="AD620" s="88"/>
      <c r="AE620" s="88"/>
    </row>
    <row r="621" spans="12:31" ht="15.75" customHeight="1" x14ac:dyDescent="0.3">
      <c r="L621" s="88"/>
      <c r="M621" s="88"/>
      <c r="N621" s="88"/>
      <c r="O621" s="88"/>
      <c r="P621" s="88"/>
      <c r="Q621" s="88"/>
      <c r="R621" s="88"/>
      <c r="S621" s="88"/>
      <c r="T621" s="88"/>
      <c r="U621" s="88"/>
      <c r="V621" s="88"/>
      <c r="W621" s="88"/>
      <c r="X621" s="88"/>
      <c r="Y621" s="88"/>
      <c r="Z621" s="88"/>
      <c r="AA621" s="88"/>
      <c r="AB621" s="88"/>
      <c r="AC621" s="88"/>
      <c r="AD621" s="88"/>
      <c r="AE621" s="88"/>
    </row>
    <row r="622" spans="12:31" ht="15.75" customHeight="1" x14ac:dyDescent="0.3">
      <c r="L622" s="88"/>
      <c r="M622" s="88"/>
      <c r="N622" s="88"/>
      <c r="O622" s="88"/>
      <c r="P622" s="88"/>
      <c r="Q622" s="88"/>
      <c r="R622" s="88"/>
      <c r="S622" s="88"/>
      <c r="T622" s="88"/>
      <c r="U622" s="88"/>
      <c r="V622" s="88"/>
      <c r="W622" s="88"/>
      <c r="X622" s="88"/>
      <c r="Y622" s="88"/>
      <c r="Z622" s="88"/>
      <c r="AA622" s="88"/>
      <c r="AB622" s="88"/>
      <c r="AC622" s="88"/>
      <c r="AD622" s="88"/>
      <c r="AE622" s="88"/>
    </row>
    <row r="623" spans="12:31" ht="15.75" customHeight="1" x14ac:dyDescent="0.3">
      <c r="L623" s="88"/>
      <c r="M623" s="88"/>
      <c r="N623" s="88"/>
      <c r="O623" s="88"/>
      <c r="P623" s="88"/>
      <c r="Q623" s="88"/>
      <c r="R623" s="88"/>
      <c r="S623" s="88"/>
      <c r="T623" s="88"/>
      <c r="U623" s="88"/>
      <c r="V623" s="88"/>
      <c r="W623" s="88"/>
      <c r="X623" s="88"/>
      <c r="Y623" s="88"/>
      <c r="Z623" s="88"/>
      <c r="AA623" s="88"/>
      <c r="AB623" s="88"/>
      <c r="AC623" s="88"/>
      <c r="AD623" s="88"/>
      <c r="AE623" s="88"/>
    </row>
    <row r="624" spans="12:31" ht="15.75" customHeight="1" x14ac:dyDescent="0.3">
      <c r="L624" s="88"/>
      <c r="M624" s="88"/>
      <c r="N624" s="88"/>
      <c r="O624" s="88"/>
      <c r="P624" s="88"/>
      <c r="Q624" s="88"/>
      <c r="R624" s="88"/>
      <c r="S624" s="88"/>
      <c r="T624" s="88"/>
      <c r="U624" s="88"/>
      <c r="V624" s="88"/>
      <c r="W624" s="88"/>
      <c r="X624" s="88"/>
      <c r="Y624" s="88"/>
      <c r="Z624" s="88"/>
      <c r="AA624" s="88"/>
      <c r="AB624" s="88"/>
      <c r="AC624" s="88"/>
      <c r="AD624" s="88"/>
      <c r="AE624" s="88"/>
    </row>
    <row r="625" spans="12:31" ht="15.75" customHeight="1" x14ac:dyDescent="0.3">
      <c r="L625" s="88"/>
      <c r="M625" s="88"/>
      <c r="N625" s="88"/>
      <c r="O625" s="88"/>
      <c r="P625" s="88"/>
      <c r="Q625" s="88"/>
      <c r="R625" s="88"/>
      <c r="S625" s="88"/>
      <c r="T625" s="88"/>
      <c r="U625" s="88"/>
      <c r="V625" s="88"/>
      <c r="W625" s="88"/>
      <c r="X625" s="88"/>
      <c r="Y625" s="88"/>
      <c r="Z625" s="88"/>
      <c r="AA625" s="88"/>
      <c r="AB625" s="88"/>
      <c r="AC625" s="88"/>
      <c r="AD625" s="88"/>
      <c r="AE625" s="88"/>
    </row>
    <row r="626" spans="12:31" ht="15.75" customHeight="1" x14ac:dyDescent="0.3">
      <c r="L626" s="88"/>
      <c r="M626" s="88"/>
      <c r="N626" s="88"/>
      <c r="O626" s="88"/>
      <c r="P626" s="88"/>
      <c r="Q626" s="88"/>
      <c r="R626" s="88"/>
      <c r="S626" s="88"/>
      <c r="T626" s="88"/>
      <c r="U626" s="88"/>
      <c r="V626" s="88"/>
      <c r="W626" s="88"/>
      <c r="X626" s="88"/>
      <c r="Y626" s="88"/>
      <c r="Z626" s="88"/>
      <c r="AA626" s="88"/>
      <c r="AB626" s="88"/>
      <c r="AC626" s="88"/>
      <c r="AD626" s="88"/>
      <c r="AE626" s="88"/>
    </row>
    <row r="627" spans="12:31" ht="15.75" customHeight="1" x14ac:dyDescent="0.3">
      <c r="L627" s="88"/>
      <c r="M627" s="88"/>
      <c r="N627" s="88"/>
      <c r="O627" s="88"/>
      <c r="P627" s="88"/>
      <c r="Q627" s="88"/>
      <c r="R627" s="88"/>
      <c r="S627" s="88"/>
      <c r="T627" s="88"/>
      <c r="U627" s="88"/>
      <c r="V627" s="88"/>
      <c r="W627" s="88"/>
      <c r="X627" s="88"/>
      <c r="Y627" s="88"/>
      <c r="Z627" s="88"/>
      <c r="AA627" s="88"/>
      <c r="AB627" s="88"/>
      <c r="AC627" s="88"/>
      <c r="AD627" s="88"/>
      <c r="AE627" s="88"/>
    </row>
    <row r="628" spans="12:31" ht="15.75" customHeight="1" x14ac:dyDescent="0.3">
      <c r="L628" s="88"/>
      <c r="M628" s="88"/>
      <c r="N628" s="88"/>
      <c r="O628" s="88"/>
      <c r="P628" s="88"/>
      <c r="Q628" s="88"/>
      <c r="R628" s="88"/>
      <c r="S628" s="88"/>
      <c r="T628" s="88"/>
      <c r="U628" s="88"/>
      <c r="V628" s="88"/>
      <c r="W628" s="88"/>
      <c r="X628" s="88"/>
      <c r="Y628" s="88"/>
      <c r="Z628" s="88"/>
      <c r="AA628" s="88"/>
      <c r="AB628" s="88"/>
      <c r="AC628" s="88"/>
      <c r="AD628" s="88"/>
      <c r="AE628" s="88"/>
    </row>
    <row r="629" spans="12:31" ht="15.75" customHeight="1" x14ac:dyDescent="0.3">
      <c r="L629" s="88"/>
      <c r="M629" s="88"/>
      <c r="N629" s="88"/>
      <c r="O629" s="88"/>
      <c r="P629" s="88"/>
      <c r="Q629" s="88"/>
      <c r="R629" s="88"/>
      <c r="S629" s="88"/>
      <c r="T629" s="88"/>
      <c r="U629" s="88"/>
      <c r="V629" s="88"/>
      <c r="W629" s="88"/>
      <c r="X629" s="88"/>
      <c r="Y629" s="88"/>
      <c r="Z629" s="88"/>
      <c r="AA629" s="88"/>
      <c r="AB629" s="88"/>
      <c r="AC629" s="88"/>
      <c r="AD629" s="88"/>
      <c r="AE629" s="88"/>
    </row>
    <row r="630" spans="12:31" ht="15.75" customHeight="1" x14ac:dyDescent="0.3">
      <c r="L630" s="88"/>
      <c r="M630" s="88"/>
      <c r="N630" s="88"/>
      <c r="O630" s="88"/>
      <c r="P630" s="88"/>
      <c r="Q630" s="88"/>
      <c r="R630" s="88"/>
      <c r="S630" s="88"/>
      <c r="T630" s="88"/>
      <c r="U630" s="88"/>
      <c r="V630" s="88"/>
      <c r="W630" s="88"/>
      <c r="X630" s="88"/>
      <c r="Y630" s="88"/>
      <c r="Z630" s="88"/>
      <c r="AA630" s="88"/>
      <c r="AB630" s="88"/>
      <c r="AC630" s="88"/>
      <c r="AD630" s="88"/>
      <c r="AE630" s="88"/>
    </row>
    <row r="631" spans="12:31" ht="15.75" customHeight="1" x14ac:dyDescent="0.3">
      <c r="L631" s="88"/>
      <c r="M631" s="88"/>
      <c r="N631" s="88"/>
      <c r="O631" s="88"/>
      <c r="P631" s="88"/>
      <c r="Q631" s="88"/>
      <c r="R631" s="88"/>
      <c r="S631" s="88"/>
      <c r="T631" s="88"/>
      <c r="U631" s="88"/>
      <c r="V631" s="88"/>
      <c r="W631" s="88"/>
      <c r="X631" s="88"/>
      <c r="Y631" s="88"/>
      <c r="Z631" s="88"/>
      <c r="AA631" s="88"/>
      <c r="AB631" s="88"/>
      <c r="AC631" s="88"/>
      <c r="AD631" s="88"/>
      <c r="AE631" s="88"/>
    </row>
    <row r="632" spans="12:31" ht="15.75" customHeight="1" x14ac:dyDescent="0.3">
      <c r="L632" s="88"/>
      <c r="M632" s="88"/>
      <c r="N632" s="88"/>
      <c r="O632" s="88"/>
      <c r="P632" s="88"/>
      <c r="Q632" s="88"/>
      <c r="R632" s="88"/>
      <c r="S632" s="88"/>
      <c r="T632" s="88"/>
      <c r="U632" s="88"/>
      <c r="V632" s="88"/>
      <c r="W632" s="88"/>
      <c r="X632" s="88"/>
      <c r="Y632" s="88"/>
      <c r="Z632" s="88"/>
      <c r="AA632" s="88"/>
      <c r="AB632" s="88"/>
      <c r="AC632" s="88"/>
      <c r="AD632" s="88"/>
      <c r="AE632" s="88"/>
    </row>
    <row r="633" spans="12:31" ht="15.75" customHeight="1" x14ac:dyDescent="0.3">
      <c r="L633" s="88"/>
      <c r="M633" s="88"/>
      <c r="N633" s="88"/>
      <c r="O633" s="88"/>
      <c r="P633" s="88"/>
      <c r="Q633" s="88"/>
      <c r="R633" s="88"/>
      <c r="S633" s="88"/>
      <c r="T633" s="88"/>
      <c r="U633" s="88"/>
      <c r="V633" s="88"/>
      <c r="W633" s="88"/>
      <c r="X633" s="88"/>
      <c r="Y633" s="88"/>
      <c r="Z633" s="88"/>
      <c r="AA633" s="88"/>
      <c r="AB633" s="88"/>
      <c r="AC633" s="88"/>
      <c r="AD633" s="88"/>
      <c r="AE633" s="88"/>
    </row>
    <row r="634" spans="12:31" ht="15.75" customHeight="1" x14ac:dyDescent="0.3">
      <c r="L634" s="88"/>
      <c r="M634" s="88"/>
      <c r="N634" s="88"/>
      <c r="O634" s="88"/>
      <c r="P634" s="88"/>
      <c r="Q634" s="88"/>
      <c r="R634" s="88"/>
      <c r="S634" s="88"/>
      <c r="T634" s="88"/>
      <c r="U634" s="88"/>
      <c r="V634" s="88"/>
      <c r="W634" s="88"/>
      <c r="X634" s="88"/>
      <c r="Y634" s="88"/>
      <c r="Z634" s="88"/>
      <c r="AA634" s="88"/>
      <c r="AB634" s="88"/>
      <c r="AC634" s="88"/>
      <c r="AD634" s="88"/>
      <c r="AE634" s="88"/>
    </row>
    <row r="635" spans="12:31" ht="15.75" customHeight="1" x14ac:dyDescent="0.3">
      <c r="L635" s="88"/>
      <c r="M635" s="88"/>
      <c r="N635" s="88"/>
      <c r="O635" s="88"/>
      <c r="P635" s="88"/>
      <c r="Q635" s="88"/>
      <c r="R635" s="88"/>
      <c r="S635" s="88"/>
      <c r="T635" s="88"/>
      <c r="U635" s="88"/>
      <c r="V635" s="88"/>
      <c r="W635" s="88"/>
      <c r="X635" s="88"/>
      <c r="Y635" s="88"/>
      <c r="Z635" s="88"/>
      <c r="AA635" s="88"/>
      <c r="AB635" s="88"/>
      <c r="AC635" s="88"/>
      <c r="AD635" s="88"/>
      <c r="AE635" s="88"/>
    </row>
    <row r="636" spans="12:31" ht="15.75" customHeight="1" x14ac:dyDescent="0.3">
      <c r="L636" s="88"/>
      <c r="M636" s="88"/>
      <c r="N636" s="88"/>
      <c r="O636" s="88"/>
      <c r="P636" s="88"/>
      <c r="Q636" s="88"/>
      <c r="R636" s="88"/>
      <c r="S636" s="88"/>
      <c r="T636" s="88"/>
      <c r="U636" s="88"/>
      <c r="V636" s="88"/>
      <c r="W636" s="88"/>
      <c r="X636" s="88"/>
      <c r="Y636" s="88"/>
      <c r="Z636" s="88"/>
      <c r="AA636" s="88"/>
      <c r="AB636" s="88"/>
      <c r="AC636" s="88"/>
      <c r="AD636" s="88"/>
      <c r="AE636" s="88"/>
    </row>
    <row r="637" spans="12:31" ht="15.75" customHeight="1" x14ac:dyDescent="0.3">
      <c r="L637" s="88"/>
      <c r="M637" s="88"/>
      <c r="N637" s="88"/>
      <c r="O637" s="88"/>
      <c r="P637" s="88"/>
      <c r="Q637" s="88"/>
      <c r="R637" s="88"/>
      <c r="S637" s="88"/>
      <c r="T637" s="88"/>
      <c r="U637" s="88"/>
      <c r="V637" s="88"/>
      <c r="W637" s="88"/>
      <c r="X637" s="88"/>
      <c r="Y637" s="88"/>
      <c r="Z637" s="88"/>
      <c r="AA637" s="88"/>
      <c r="AB637" s="88"/>
      <c r="AC637" s="88"/>
      <c r="AD637" s="88"/>
      <c r="AE637" s="88"/>
    </row>
    <row r="638" spans="12:31" ht="15.75" customHeight="1" x14ac:dyDescent="0.3">
      <c r="L638" s="88"/>
      <c r="M638" s="88"/>
      <c r="N638" s="88"/>
      <c r="O638" s="88"/>
      <c r="P638" s="88"/>
      <c r="Q638" s="88"/>
      <c r="R638" s="88"/>
      <c r="S638" s="88"/>
      <c r="T638" s="88"/>
      <c r="U638" s="88"/>
      <c r="V638" s="88"/>
      <c r="W638" s="88"/>
      <c r="X638" s="88"/>
      <c r="Y638" s="88"/>
      <c r="Z638" s="88"/>
      <c r="AA638" s="88"/>
      <c r="AB638" s="88"/>
      <c r="AC638" s="88"/>
      <c r="AD638" s="88"/>
      <c r="AE638" s="88"/>
    </row>
    <row r="639" spans="12:31" ht="15.75" customHeight="1" x14ac:dyDescent="0.3">
      <c r="L639" s="88"/>
      <c r="M639" s="88"/>
      <c r="N639" s="88"/>
      <c r="O639" s="88"/>
      <c r="P639" s="88"/>
      <c r="Q639" s="88"/>
      <c r="R639" s="88"/>
      <c r="S639" s="88"/>
      <c r="T639" s="88"/>
      <c r="U639" s="88"/>
      <c r="V639" s="88"/>
      <c r="W639" s="88"/>
      <c r="X639" s="88"/>
      <c r="Y639" s="88"/>
      <c r="Z639" s="88"/>
      <c r="AA639" s="88"/>
      <c r="AB639" s="88"/>
      <c r="AC639" s="88"/>
      <c r="AD639" s="88"/>
      <c r="AE639" s="88"/>
    </row>
    <row r="640" spans="12:31" ht="15.75" customHeight="1" x14ac:dyDescent="0.3">
      <c r="L640" s="88"/>
      <c r="M640" s="88"/>
      <c r="N640" s="88"/>
      <c r="O640" s="88"/>
      <c r="P640" s="88"/>
      <c r="Q640" s="88"/>
      <c r="R640" s="88"/>
      <c r="S640" s="88"/>
      <c r="T640" s="88"/>
      <c r="U640" s="88"/>
      <c r="V640" s="88"/>
      <c r="W640" s="88"/>
      <c r="X640" s="88"/>
      <c r="Y640" s="88"/>
      <c r="Z640" s="88"/>
      <c r="AA640" s="88"/>
      <c r="AB640" s="88"/>
      <c r="AC640" s="88"/>
      <c r="AD640" s="88"/>
      <c r="AE640" s="88"/>
    </row>
    <row r="641" spans="12:31" ht="15.75" customHeight="1" x14ac:dyDescent="0.3">
      <c r="L641" s="88"/>
      <c r="M641" s="88"/>
      <c r="N641" s="88"/>
      <c r="O641" s="88"/>
      <c r="P641" s="88"/>
      <c r="Q641" s="88"/>
      <c r="R641" s="88"/>
      <c r="S641" s="88"/>
      <c r="T641" s="88"/>
      <c r="U641" s="88"/>
      <c r="V641" s="88"/>
      <c r="W641" s="88"/>
      <c r="X641" s="88"/>
      <c r="Y641" s="88"/>
      <c r="Z641" s="88"/>
      <c r="AA641" s="88"/>
      <c r="AB641" s="88"/>
      <c r="AC641" s="88"/>
      <c r="AD641" s="88"/>
      <c r="AE641" s="88"/>
    </row>
    <row r="642" spans="12:31" ht="15.75" customHeight="1" x14ac:dyDescent="0.3">
      <c r="L642" s="88"/>
      <c r="M642" s="88"/>
      <c r="N642" s="88"/>
      <c r="O642" s="88"/>
      <c r="P642" s="88"/>
      <c r="Q642" s="88"/>
      <c r="R642" s="88"/>
      <c r="S642" s="88"/>
      <c r="T642" s="88"/>
      <c r="U642" s="88"/>
      <c r="V642" s="88"/>
      <c r="W642" s="88"/>
      <c r="X642" s="88"/>
      <c r="Y642" s="88"/>
      <c r="Z642" s="88"/>
      <c r="AA642" s="88"/>
      <c r="AB642" s="88"/>
      <c r="AC642" s="88"/>
      <c r="AD642" s="88"/>
      <c r="AE642" s="88"/>
    </row>
    <row r="643" spans="12:31" ht="15.75" customHeight="1" x14ac:dyDescent="0.3">
      <c r="L643" s="88"/>
      <c r="M643" s="88"/>
      <c r="N643" s="88"/>
      <c r="O643" s="88"/>
      <c r="P643" s="88"/>
      <c r="Q643" s="88"/>
      <c r="R643" s="88"/>
      <c r="S643" s="88"/>
      <c r="T643" s="88"/>
      <c r="U643" s="88"/>
      <c r="V643" s="88"/>
      <c r="W643" s="88"/>
      <c r="X643" s="88"/>
      <c r="Y643" s="88"/>
      <c r="Z643" s="88"/>
      <c r="AA643" s="88"/>
      <c r="AB643" s="88"/>
      <c r="AC643" s="88"/>
      <c r="AD643" s="88"/>
      <c r="AE643" s="88"/>
    </row>
    <row r="644" spans="12:31" ht="15.75" customHeight="1" x14ac:dyDescent="0.3">
      <c r="L644" s="88"/>
      <c r="M644" s="88"/>
      <c r="N644" s="88"/>
      <c r="O644" s="88"/>
      <c r="P644" s="88"/>
      <c r="Q644" s="88"/>
      <c r="R644" s="88"/>
      <c r="S644" s="88"/>
      <c r="T644" s="88"/>
      <c r="U644" s="88"/>
      <c r="V644" s="88"/>
      <c r="W644" s="88"/>
      <c r="X644" s="88"/>
      <c r="Y644" s="88"/>
      <c r="Z644" s="88"/>
      <c r="AA644" s="88"/>
      <c r="AB644" s="88"/>
      <c r="AC644" s="88"/>
      <c r="AD644" s="88"/>
      <c r="AE644" s="88"/>
    </row>
    <row r="645" spans="12:31" ht="15.75" customHeight="1" x14ac:dyDescent="0.3">
      <c r="L645" s="88"/>
      <c r="M645" s="88"/>
      <c r="N645" s="88"/>
      <c r="O645" s="88"/>
      <c r="P645" s="88"/>
      <c r="Q645" s="88"/>
      <c r="R645" s="88"/>
      <c r="S645" s="88"/>
      <c r="T645" s="88"/>
      <c r="U645" s="88"/>
      <c r="V645" s="88"/>
      <c r="W645" s="88"/>
      <c r="X645" s="88"/>
      <c r="Y645" s="88"/>
      <c r="Z645" s="88"/>
      <c r="AA645" s="88"/>
      <c r="AB645" s="88"/>
      <c r="AC645" s="88"/>
      <c r="AD645" s="88"/>
      <c r="AE645" s="88"/>
    </row>
    <row r="646" spans="12:31" ht="15.75" customHeight="1" x14ac:dyDescent="0.3">
      <c r="L646" s="88"/>
      <c r="M646" s="88"/>
      <c r="N646" s="88"/>
      <c r="O646" s="88"/>
      <c r="P646" s="88"/>
      <c r="Q646" s="88"/>
      <c r="R646" s="88"/>
      <c r="S646" s="88"/>
      <c r="T646" s="88"/>
      <c r="U646" s="88"/>
      <c r="V646" s="88"/>
      <c r="W646" s="88"/>
      <c r="X646" s="88"/>
      <c r="Y646" s="88"/>
      <c r="Z646" s="88"/>
      <c r="AA646" s="88"/>
      <c r="AB646" s="88"/>
      <c r="AC646" s="88"/>
      <c r="AD646" s="88"/>
      <c r="AE646" s="88"/>
    </row>
    <row r="647" spans="12:31" ht="15.75" customHeight="1" x14ac:dyDescent="0.3">
      <c r="L647" s="88"/>
      <c r="M647" s="88"/>
      <c r="N647" s="88"/>
      <c r="O647" s="88"/>
      <c r="P647" s="88"/>
      <c r="Q647" s="88"/>
      <c r="R647" s="88"/>
      <c r="S647" s="88"/>
      <c r="T647" s="88"/>
      <c r="U647" s="88"/>
      <c r="V647" s="88"/>
      <c r="W647" s="88"/>
      <c r="X647" s="88"/>
      <c r="Y647" s="88"/>
      <c r="Z647" s="88"/>
      <c r="AA647" s="88"/>
      <c r="AB647" s="88"/>
      <c r="AC647" s="88"/>
      <c r="AD647" s="88"/>
      <c r="AE647" s="88"/>
    </row>
    <row r="648" spans="12:31" ht="15.75" customHeight="1" x14ac:dyDescent="0.3">
      <c r="L648" s="88"/>
      <c r="M648" s="88"/>
      <c r="N648" s="88"/>
      <c r="O648" s="88"/>
      <c r="P648" s="88"/>
      <c r="Q648" s="88"/>
      <c r="R648" s="88"/>
      <c r="S648" s="88"/>
      <c r="T648" s="88"/>
      <c r="U648" s="88"/>
      <c r="V648" s="88"/>
      <c r="W648" s="88"/>
      <c r="X648" s="88"/>
      <c r="Y648" s="88"/>
      <c r="Z648" s="88"/>
      <c r="AA648" s="88"/>
      <c r="AB648" s="88"/>
      <c r="AC648" s="88"/>
      <c r="AD648" s="88"/>
      <c r="AE648" s="88"/>
    </row>
    <row r="649" spans="12:31" ht="15.75" customHeight="1" x14ac:dyDescent="0.3">
      <c r="L649" s="88"/>
      <c r="M649" s="88"/>
      <c r="N649" s="88"/>
      <c r="O649" s="88"/>
      <c r="P649" s="88"/>
      <c r="Q649" s="88"/>
      <c r="R649" s="88"/>
      <c r="S649" s="88"/>
      <c r="T649" s="88"/>
      <c r="U649" s="88"/>
      <c r="V649" s="88"/>
      <c r="W649" s="88"/>
      <c r="X649" s="88"/>
      <c r="Y649" s="88"/>
      <c r="Z649" s="88"/>
      <c r="AA649" s="88"/>
      <c r="AB649" s="88"/>
      <c r="AC649" s="88"/>
      <c r="AD649" s="88"/>
      <c r="AE649" s="88"/>
    </row>
    <row r="650" spans="12:31" ht="15.75" customHeight="1" x14ac:dyDescent="0.3">
      <c r="L650" s="88"/>
      <c r="M650" s="88"/>
      <c r="N650" s="88"/>
      <c r="O650" s="88"/>
      <c r="P650" s="88"/>
      <c r="Q650" s="88"/>
      <c r="R650" s="88"/>
      <c r="S650" s="88"/>
      <c r="T650" s="88"/>
      <c r="U650" s="88"/>
      <c r="V650" s="88"/>
      <c r="W650" s="88"/>
      <c r="X650" s="88"/>
      <c r="Y650" s="88"/>
      <c r="Z650" s="88"/>
      <c r="AA650" s="88"/>
      <c r="AB650" s="88"/>
      <c r="AC650" s="88"/>
      <c r="AD650" s="88"/>
      <c r="AE650" s="88"/>
    </row>
    <row r="651" spans="12:31" ht="15.75" customHeight="1" x14ac:dyDescent="0.3">
      <c r="L651" s="88"/>
      <c r="M651" s="88"/>
      <c r="N651" s="88"/>
      <c r="O651" s="88"/>
      <c r="P651" s="88"/>
      <c r="Q651" s="88"/>
      <c r="R651" s="88"/>
      <c r="S651" s="88"/>
      <c r="T651" s="88"/>
      <c r="U651" s="88"/>
      <c r="V651" s="88"/>
      <c r="W651" s="88"/>
      <c r="X651" s="88"/>
      <c r="Y651" s="88"/>
      <c r="Z651" s="88"/>
      <c r="AA651" s="88"/>
      <c r="AB651" s="88"/>
      <c r="AC651" s="88"/>
      <c r="AD651" s="88"/>
      <c r="AE651" s="88"/>
    </row>
    <row r="652" spans="12:31" ht="15.75" customHeight="1" x14ac:dyDescent="0.3">
      <c r="L652" s="88"/>
      <c r="M652" s="88"/>
      <c r="N652" s="88"/>
      <c r="O652" s="88"/>
      <c r="P652" s="88"/>
      <c r="Q652" s="88"/>
      <c r="R652" s="88"/>
      <c r="S652" s="88"/>
      <c r="T652" s="88"/>
      <c r="U652" s="88"/>
      <c r="V652" s="88"/>
      <c r="W652" s="88"/>
      <c r="X652" s="88"/>
      <c r="Y652" s="88"/>
      <c r="Z652" s="88"/>
      <c r="AA652" s="88"/>
      <c r="AB652" s="88"/>
      <c r="AC652" s="88"/>
      <c r="AD652" s="88"/>
      <c r="AE652" s="88"/>
    </row>
    <row r="653" spans="12:31" ht="15.75" customHeight="1" x14ac:dyDescent="0.3">
      <c r="L653" s="88"/>
      <c r="M653" s="88"/>
      <c r="N653" s="88"/>
      <c r="O653" s="88"/>
      <c r="P653" s="88"/>
      <c r="Q653" s="88"/>
      <c r="R653" s="88"/>
      <c r="S653" s="88"/>
      <c r="T653" s="88"/>
      <c r="U653" s="88"/>
      <c r="V653" s="88"/>
      <c r="W653" s="88"/>
      <c r="X653" s="88"/>
      <c r="Y653" s="88"/>
      <c r="Z653" s="88"/>
      <c r="AA653" s="88"/>
      <c r="AB653" s="88"/>
      <c r="AC653" s="88"/>
      <c r="AD653" s="88"/>
      <c r="AE653" s="88"/>
    </row>
    <row r="654" spans="12:31" ht="15.75" customHeight="1" x14ac:dyDescent="0.3">
      <c r="L654" s="88"/>
      <c r="M654" s="88"/>
      <c r="N654" s="88"/>
      <c r="O654" s="88"/>
      <c r="P654" s="88"/>
      <c r="Q654" s="88"/>
      <c r="R654" s="88"/>
      <c r="S654" s="88"/>
      <c r="T654" s="88"/>
      <c r="U654" s="88"/>
      <c r="V654" s="88"/>
      <c r="W654" s="88"/>
      <c r="X654" s="88"/>
      <c r="Y654" s="88"/>
      <c r="Z654" s="88"/>
      <c r="AA654" s="88"/>
      <c r="AB654" s="88"/>
      <c r="AC654" s="88"/>
      <c r="AD654" s="88"/>
      <c r="AE654" s="88"/>
    </row>
    <row r="655" spans="12:31" ht="15.75" customHeight="1" x14ac:dyDescent="0.3">
      <c r="L655" s="88"/>
      <c r="M655" s="88"/>
      <c r="N655" s="88"/>
      <c r="O655" s="88"/>
      <c r="P655" s="88"/>
      <c r="Q655" s="88"/>
      <c r="R655" s="88"/>
      <c r="S655" s="88"/>
      <c r="T655" s="88"/>
      <c r="U655" s="88"/>
      <c r="V655" s="88"/>
      <c r="W655" s="88"/>
      <c r="X655" s="88"/>
      <c r="Y655" s="88"/>
      <c r="Z655" s="88"/>
      <c r="AA655" s="88"/>
      <c r="AB655" s="88"/>
      <c r="AC655" s="88"/>
      <c r="AD655" s="88"/>
      <c r="AE655" s="88"/>
    </row>
    <row r="656" spans="12:31" ht="15.75" customHeight="1" x14ac:dyDescent="0.3">
      <c r="L656" s="88"/>
      <c r="M656" s="88"/>
      <c r="N656" s="88"/>
      <c r="O656" s="88"/>
      <c r="P656" s="88"/>
      <c r="Q656" s="88"/>
      <c r="R656" s="88"/>
      <c r="S656" s="88"/>
      <c r="T656" s="88"/>
      <c r="U656" s="88"/>
      <c r="V656" s="88"/>
      <c r="W656" s="88"/>
      <c r="X656" s="88"/>
      <c r="Y656" s="88"/>
      <c r="Z656" s="88"/>
      <c r="AA656" s="88"/>
      <c r="AB656" s="88"/>
      <c r="AC656" s="88"/>
      <c r="AD656" s="88"/>
      <c r="AE656" s="88"/>
    </row>
    <row r="657" spans="12:31" ht="15.75" customHeight="1" x14ac:dyDescent="0.3">
      <c r="L657" s="88"/>
      <c r="M657" s="88"/>
      <c r="N657" s="88"/>
      <c r="O657" s="88"/>
      <c r="P657" s="88"/>
      <c r="Q657" s="88"/>
      <c r="R657" s="88"/>
      <c r="S657" s="88"/>
      <c r="T657" s="88"/>
      <c r="U657" s="88"/>
      <c r="V657" s="88"/>
      <c r="W657" s="88"/>
      <c r="X657" s="88"/>
      <c r="Y657" s="88"/>
      <c r="Z657" s="88"/>
      <c r="AA657" s="88"/>
      <c r="AB657" s="88"/>
      <c r="AC657" s="88"/>
      <c r="AD657" s="88"/>
      <c r="AE657" s="88"/>
    </row>
    <row r="658" spans="12:31" ht="15.75" customHeight="1" x14ac:dyDescent="0.3">
      <c r="L658" s="88"/>
      <c r="M658" s="88"/>
      <c r="N658" s="88"/>
      <c r="O658" s="88"/>
      <c r="P658" s="88"/>
      <c r="Q658" s="88"/>
      <c r="R658" s="88"/>
      <c r="S658" s="88"/>
      <c r="T658" s="88"/>
      <c r="U658" s="88"/>
      <c r="V658" s="88"/>
      <c r="W658" s="88"/>
      <c r="X658" s="88"/>
      <c r="Y658" s="88"/>
      <c r="Z658" s="88"/>
      <c r="AA658" s="88"/>
      <c r="AB658" s="88"/>
      <c r="AC658" s="88"/>
      <c r="AD658" s="88"/>
      <c r="AE658" s="88"/>
    </row>
    <row r="659" spans="12:31" ht="15.75" customHeight="1" x14ac:dyDescent="0.3">
      <c r="L659" s="88"/>
      <c r="M659" s="88"/>
      <c r="N659" s="88"/>
      <c r="O659" s="88"/>
      <c r="P659" s="88"/>
      <c r="Q659" s="88"/>
      <c r="R659" s="88"/>
      <c r="S659" s="88"/>
      <c r="T659" s="88"/>
      <c r="U659" s="88"/>
      <c r="V659" s="88"/>
      <c r="W659" s="88"/>
      <c r="X659" s="88"/>
      <c r="Y659" s="88"/>
      <c r="Z659" s="88"/>
      <c r="AA659" s="88"/>
      <c r="AB659" s="88"/>
      <c r="AC659" s="88"/>
      <c r="AD659" s="88"/>
      <c r="AE659" s="88"/>
    </row>
    <row r="660" spans="12:31" ht="15.75" customHeight="1" x14ac:dyDescent="0.3">
      <c r="L660" s="88"/>
      <c r="M660" s="88"/>
      <c r="N660" s="88"/>
      <c r="O660" s="88"/>
      <c r="P660" s="88"/>
      <c r="Q660" s="88"/>
      <c r="R660" s="88"/>
      <c r="S660" s="88"/>
      <c r="T660" s="88"/>
      <c r="U660" s="88"/>
      <c r="V660" s="88"/>
      <c r="W660" s="88"/>
      <c r="X660" s="88"/>
      <c r="Y660" s="88"/>
      <c r="Z660" s="88"/>
      <c r="AA660" s="88"/>
      <c r="AB660" s="88"/>
      <c r="AC660" s="88"/>
      <c r="AD660" s="88"/>
      <c r="AE660" s="88"/>
    </row>
    <row r="661" spans="12:31" ht="15.75" customHeight="1" x14ac:dyDescent="0.3">
      <c r="L661" s="88"/>
      <c r="M661" s="88"/>
      <c r="N661" s="88"/>
      <c r="O661" s="88"/>
      <c r="P661" s="88"/>
      <c r="Q661" s="88"/>
      <c r="R661" s="88"/>
      <c r="S661" s="88"/>
      <c r="T661" s="88"/>
      <c r="U661" s="88"/>
      <c r="V661" s="88"/>
      <c r="W661" s="88"/>
      <c r="X661" s="88"/>
      <c r="Y661" s="88"/>
      <c r="Z661" s="88"/>
      <c r="AA661" s="88"/>
      <c r="AB661" s="88"/>
      <c r="AC661" s="88"/>
      <c r="AD661" s="88"/>
      <c r="AE661" s="88"/>
    </row>
    <row r="662" spans="12:31" ht="15.75" customHeight="1" x14ac:dyDescent="0.3">
      <c r="L662" s="88"/>
      <c r="M662" s="88"/>
      <c r="N662" s="88"/>
      <c r="O662" s="88"/>
      <c r="P662" s="88"/>
      <c r="Q662" s="88"/>
      <c r="R662" s="88"/>
      <c r="S662" s="88"/>
      <c r="T662" s="88"/>
      <c r="U662" s="88"/>
      <c r="V662" s="88"/>
      <c r="W662" s="88"/>
      <c r="X662" s="88"/>
      <c r="Y662" s="88"/>
      <c r="Z662" s="88"/>
      <c r="AA662" s="88"/>
      <c r="AB662" s="88"/>
      <c r="AC662" s="88"/>
      <c r="AD662" s="88"/>
      <c r="AE662" s="88"/>
    </row>
    <row r="663" spans="12:31" ht="15.75" customHeight="1" x14ac:dyDescent="0.3">
      <c r="L663" s="88"/>
      <c r="M663" s="88"/>
      <c r="N663" s="88"/>
      <c r="O663" s="88"/>
      <c r="P663" s="88"/>
      <c r="Q663" s="88"/>
      <c r="R663" s="88"/>
      <c r="S663" s="88"/>
      <c r="T663" s="88"/>
      <c r="U663" s="88"/>
      <c r="V663" s="88"/>
      <c r="W663" s="88"/>
      <c r="X663" s="88"/>
      <c r="Y663" s="88"/>
      <c r="Z663" s="88"/>
      <c r="AA663" s="88"/>
      <c r="AB663" s="88"/>
      <c r="AC663" s="88"/>
      <c r="AD663" s="88"/>
      <c r="AE663" s="88"/>
    </row>
    <row r="664" spans="12:31" ht="15.75" customHeight="1" x14ac:dyDescent="0.3">
      <c r="L664" s="88"/>
      <c r="M664" s="88"/>
      <c r="N664" s="88"/>
      <c r="O664" s="88"/>
      <c r="P664" s="88"/>
      <c r="Q664" s="88"/>
      <c r="R664" s="88"/>
      <c r="S664" s="88"/>
      <c r="T664" s="88"/>
      <c r="U664" s="88"/>
      <c r="V664" s="88"/>
      <c r="W664" s="88"/>
      <c r="X664" s="88"/>
      <c r="Y664" s="88"/>
      <c r="Z664" s="88"/>
      <c r="AA664" s="88"/>
      <c r="AB664" s="88"/>
      <c r="AC664" s="88"/>
      <c r="AD664" s="88"/>
      <c r="AE664" s="88"/>
    </row>
    <row r="665" spans="12:31" ht="15.75" customHeight="1" x14ac:dyDescent="0.3">
      <c r="L665" s="88"/>
      <c r="M665" s="88"/>
      <c r="N665" s="88"/>
      <c r="O665" s="88"/>
      <c r="P665" s="88"/>
      <c r="Q665" s="88"/>
      <c r="R665" s="88"/>
      <c r="S665" s="88"/>
      <c r="T665" s="88"/>
      <c r="U665" s="88"/>
      <c r="V665" s="88"/>
      <c r="W665" s="88"/>
      <c r="X665" s="88"/>
      <c r="Y665" s="88"/>
      <c r="Z665" s="88"/>
      <c r="AA665" s="88"/>
      <c r="AB665" s="88"/>
      <c r="AC665" s="88"/>
      <c r="AD665" s="88"/>
      <c r="AE665" s="88"/>
    </row>
    <row r="666" spans="12:31" ht="15.75" customHeight="1" x14ac:dyDescent="0.3">
      <c r="L666" s="88"/>
      <c r="M666" s="88"/>
      <c r="N666" s="88"/>
      <c r="O666" s="88"/>
      <c r="P666" s="88"/>
      <c r="Q666" s="88"/>
      <c r="R666" s="88"/>
      <c r="S666" s="88"/>
      <c r="T666" s="88"/>
      <c r="U666" s="88"/>
      <c r="V666" s="88"/>
      <c r="W666" s="88"/>
      <c r="X666" s="88"/>
      <c r="Y666" s="88"/>
      <c r="Z666" s="88"/>
      <c r="AA666" s="88"/>
      <c r="AB666" s="88"/>
      <c r="AC666" s="88"/>
      <c r="AD666" s="88"/>
      <c r="AE666" s="88"/>
    </row>
    <row r="667" spans="12:31" ht="15.75" customHeight="1" x14ac:dyDescent="0.3">
      <c r="L667" s="88"/>
      <c r="M667" s="88"/>
      <c r="N667" s="88"/>
      <c r="O667" s="88"/>
      <c r="P667" s="88"/>
      <c r="Q667" s="88"/>
      <c r="R667" s="88"/>
      <c r="S667" s="88"/>
      <c r="T667" s="88"/>
      <c r="U667" s="88"/>
      <c r="V667" s="88"/>
      <c r="W667" s="88"/>
      <c r="X667" s="88"/>
      <c r="Y667" s="88"/>
      <c r="Z667" s="88"/>
      <c r="AA667" s="88"/>
      <c r="AB667" s="88"/>
      <c r="AC667" s="88"/>
      <c r="AD667" s="88"/>
      <c r="AE667" s="88"/>
    </row>
    <row r="668" spans="12:31" ht="15.75" customHeight="1" x14ac:dyDescent="0.3">
      <c r="L668" s="88"/>
      <c r="M668" s="88"/>
      <c r="N668" s="88"/>
      <c r="O668" s="88"/>
      <c r="P668" s="88"/>
      <c r="Q668" s="88"/>
      <c r="R668" s="88"/>
      <c r="S668" s="88"/>
      <c r="T668" s="88"/>
      <c r="U668" s="88"/>
      <c r="V668" s="88"/>
      <c r="W668" s="88"/>
      <c r="X668" s="88"/>
      <c r="Y668" s="88"/>
      <c r="Z668" s="88"/>
      <c r="AA668" s="88"/>
      <c r="AB668" s="88"/>
      <c r="AC668" s="88"/>
      <c r="AD668" s="88"/>
      <c r="AE668" s="88"/>
    </row>
    <row r="669" spans="12:31" ht="15.75" customHeight="1" x14ac:dyDescent="0.3">
      <c r="L669" s="88"/>
      <c r="M669" s="88"/>
      <c r="N669" s="88"/>
      <c r="O669" s="88"/>
      <c r="P669" s="88"/>
      <c r="Q669" s="88"/>
      <c r="R669" s="88"/>
      <c r="S669" s="88"/>
      <c r="T669" s="88"/>
      <c r="U669" s="88"/>
      <c r="V669" s="88"/>
      <c r="W669" s="88"/>
      <c r="X669" s="88"/>
      <c r="Y669" s="88"/>
      <c r="Z669" s="88"/>
      <c r="AA669" s="88"/>
      <c r="AB669" s="88"/>
      <c r="AC669" s="88"/>
      <c r="AD669" s="88"/>
      <c r="AE669" s="88"/>
    </row>
    <row r="670" spans="12:31" ht="15.75" customHeight="1" x14ac:dyDescent="0.3">
      <c r="L670" s="88"/>
      <c r="M670" s="88"/>
      <c r="N670" s="88"/>
      <c r="O670" s="88"/>
      <c r="P670" s="88"/>
      <c r="Q670" s="88"/>
      <c r="R670" s="88"/>
      <c r="S670" s="88"/>
      <c r="T670" s="88"/>
      <c r="U670" s="88"/>
      <c r="V670" s="88"/>
      <c r="W670" s="88"/>
      <c r="X670" s="88"/>
      <c r="Y670" s="88"/>
      <c r="Z670" s="88"/>
      <c r="AA670" s="88"/>
      <c r="AB670" s="88"/>
      <c r="AC670" s="88"/>
      <c r="AD670" s="88"/>
      <c r="AE670" s="88"/>
    </row>
    <row r="671" spans="12:31" ht="15.75" customHeight="1" x14ac:dyDescent="0.3">
      <c r="L671" s="88"/>
      <c r="M671" s="88"/>
      <c r="N671" s="88"/>
      <c r="O671" s="88"/>
      <c r="P671" s="88"/>
      <c r="Q671" s="88"/>
      <c r="R671" s="88"/>
      <c r="S671" s="88"/>
      <c r="T671" s="88"/>
      <c r="U671" s="88"/>
      <c r="V671" s="88"/>
      <c r="W671" s="88"/>
      <c r="X671" s="88"/>
      <c r="Y671" s="88"/>
      <c r="Z671" s="88"/>
      <c r="AA671" s="88"/>
      <c r="AB671" s="88"/>
      <c r="AC671" s="88"/>
      <c r="AD671" s="88"/>
      <c r="AE671" s="88"/>
    </row>
    <row r="672" spans="12:31" ht="15.75" customHeight="1" x14ac:dyDescent="0.3">
      <c r="L672" s="88"/>
      <c r="M672" s="88"/>
      <c r="N672" s="88"/>
      <c r="O672" s="88"/>
      <c r="P672" s="88"/>
      <c r="Q672" s="88"/>
      <c r="R672" s="88"/>
      <c r="S672" s="88"/>
      <c r="T672" s="88"/>
      <c r="U672" s="88"/>
      <c r="V672" s="88"/>
      <c r="W672" s="88"/>
      <c r="X672" s="88"/>
      <c r="Y672" s="88"/>
      <c r="Z672" s="88"/>
      <c r="AA672" s="88"/>
      <c r="AB672" s="88"/>
      <c r="AC672" s="88"/>
      <c r="AD672" s="88"/>
      <c r="AE672" s="88"/>
    </row>
    <row r="673" spans="12:31" ht="15.75" customHeight="1" x14ac:dyDescent="0.3">
      <c r="L673" s="88"/>
      <c r="M673" s="88"/>
      <c r="N673" s="88"/>
      <c r="O673" s="88"/>
      <c r="P673" s="88"/>
      <c r="Q673" s="88"/>
      <c r="R673" s="88"/>
      <c r="S673" s="88"/>
      <c r="T673" s="88"/>
      <c r="U673" s="88"/>
      <c r="V673" s="88"/>
      <c r="W673" s="88"/>
      <c r="X673" s="88"/>
      <c r="Y673" s="88"/>
      <c r="Z673" s="88"/>
      <c r="AA673" s="88"/>
      <c r="AB673" s="88"/>
      <c r="AC673" s="88"/>
      <c r="AD673" s="88"/>
      <c r="AE673" s="88"/>
    </row>
    <row r="674" spans="12:31" ht="15.75" customHeight="1" x14ac:dyDescent="0.3">
      <c r="L674" s="88"/>
      <c r="M674" s="88"/>
      <c r="N674" s="88"/>
      <c r="O674" s="88"/>
      <c r="P674" s="88"/>
      <c r="Q674" s="88"/>
      <c r="R674" s="88"/>
      <c r="S674" s="88"/>
      <c r="T674" s="88"/>
      <c r="U674" s="88"/>
      <c r="V674" s="88"/>
      <c r="W674" s="88"/>
      <c r="X674" s="88"/>
      <c r="Y674" s="88"/>
      <c r="Z674" s="88"/>
      <c r="AA674" s="88"/>
      <c r="AB674" s="88"/>
      <c r="AC674" s="88"/>
      <c r="AD674" s="88"/>
      <c r="AE674" s="88"/>
    </row>
    <row r="675" spans="12:31" ht="15.75" customHeight="1" x14ac:dyDescent="0.3">
      <c r="L675" s="88"/>
      <c r="M675" s="88"/>
      <c r="N675" s="88"/>
      <c r="O675" s="88"/>
      <c r="P675" s="88"/>
      <c r="Q675" s="88"/>
      <c r="R675" s="88"/>
      <c r="S675" s="88"/>
      <c r="T675" s="88"/>
      <c r="U675" s="88"/>
      <c r="V675" s="88"/>
      <c r="W675" s="88"/>
      <c r="X675" s="88"/>
      <c r="Y675" s="88"/>
      <c r="Z675" s="88"/>
      <c r="AA675" s="88"/>
      <c r="AB675" s="88"/>
      <c r="AC675" s="88"/>
      <c r="AD675" s="88"/>
      <c r="AE675" s="88"/>
    </row>
    <row r="676" spans="12:31" ht="15.75" customHeight="1" x14ac:dyDescent="0.3">
      <c r="L676" s="88"/>
      <c r="M676" s="88"/>
      <c r="N676" s="88"/>
      <c r="O676" s="88"/>
      <c r="P676" s="88"/>
      <c r="Q676" s="88"/>
      <c r="R676" s="88"/>
      <c r="S676" s="88"/>
      <c r="T676" s="88"/>
      <c r="U676" s="88"/>
      <c r="V676" s="88"/>
      <c r="W676" s="88"/>
      <c r="X676" s="88"/>
      <c r="Y676" s="88"/>
      <c r="Z676" s="88"/>
      <c r="AA676" s="88"/>
      <c r="AB676" s="88"/>
      <c r="AC676" s="88"/>
      <c r="AD676" s="88"/>
      <c r="AE676" s="88"/>
    </row>
    <row r="677" spans="12:31" ht="15.75" customHeight="1" x14ac:dyDescent="0.3">
      <c r="L677" s="88"/>
      <c r="M677" s="88"/>
      <c r="N677" s="88"/>
      <c r="O677" s="88"/>
      <c r="P677" s="88"/>
      <c r="Q677" s="88"/>
      <c r="R677" s="88"/>
      <c r="S677" s="88"/>
      <c r="T677" s="88"/>
      <c r="U677" s="88"/>
      <c r="V677" s="88"/>
      <c r="W677" s="88"/>
      <c r="X677" s="88"/>
      <c r="Y677" s="88"/>
      <c r="Z677" s="88"/>
      <c r="AA677" s="88"/>
      <c r="AB677" s="88"/>
      <c r="AC677" s="88"/>
      <c r="AD677" s="88"/>
      <c r="AE677" s="88"/>
    </row>
    <row r="678" spans="12:31" ht="15.75" customHeight="1" x14ac:dyDescent="0.3">
      <c r="L678" s="88"/>
      <c r="M678" s="88"/>
      <c r="N678" s="88"/>
      <c r="O678" s="88"/>
      <c r="P678" s="88"/>
      <c r="Q678" s="88"/>
      <c r="R678" s="88"/>
      <c r="S678" s="88"/>
      <c r="T678" s="88"/>
      <c r="U678" s="88"/>
      <c r="V678" s="88"/>
      <c r="W678" s="88"/>
      <c r="X678" s="88"/>
      <c r="Y678" s="88"/>
      <c r="Z678" s="88"/>
      <c r="AA678" s="88"/>
      <c r="AB678" s="88"/>
      <c r="AC678" s="88"/>
      <c r="AD678" s="88"/>
      <c r="AE678" s="88"/>
    </row>
    <row r="679" spans="12:31" ht="15.75" customHeight="1" x14ac:dyDescent="0.3">
      <c r="L679" s="88"/>
      <c r="M679" s="88"/>
      <c r="N679" s="88"/>
      <c r="O679" s="88"/>
      <c r="P679" s="88"/>
      <c r="Q679" s="88"/>
      <c r="R679" s="88"/>
      <c r="S679" s="88"/>
      <c r="T679" s="88"/>
      <c r="U679" s="88"/>
      <c r="V679" s="88"/>
      <c r="W679" s="88"/>
      <c r="X679" s="88"/>
      <c r="Y679" s="88"/>
      <c r="Z679" s="88"/>
      <c r="AA679" s="88"/>
      <c r="AB679" s="88"/>
      <c r="AC679" s="88"/>
      <c r="AD679" s="88"/>
      <c r="AE679" s="88"/>
    </row>
    <row r="680" spans="12:31" ht="15.75" customHeight="1" x14ac:dyDescent="0.3">
      <c r="L680" s="88"/>
      <c r="M680" s="88"/>
      <c r="N680" s="88"/>
      <c r="O680" s="88"/>
      <c r="P680" s="88"/>
      <c r="Q680" s="88"/>
      <c r="R680" s="88"/>
      <c r="S680" s="88"/>
      <c r="T680" s="88"/>
      <c r="U680" s="88"/>
      <c r="V680" s="88"/>
      <c r="W680" s="88"/>
      <c r="X680" s="88"/>
      <c r="Y680" s="88"/>
      <c r="Z680" s="88"/>
      <c r="AA680" s="88"/>
      <c r="AB680" s="88"/>
      <c r="AC680" s="88"/>
      <c r="AD680" s="88"/>
      <c r="AE680" s="88"/>
    </row>
    <row r="681" spans="12:31" ht="15.75" customHeight="1" x14ac:dyDescent="0.3">
      <c r="L681" s="88"/>
      <c r="M681" s="88"/>
      <c r="N681" s="88"/>
      <c r="O681" s="88"/>
      <c r="P681" s="88"/>
      <c r="Q681" s="88"/>
      <c r="R681" s="88"/>
      <c r="S681" s="88"/>
      <c r="T681" s="88"/>
      <c r="U681" s="88"/>
      <c r="V681" s="88"/>
      <c r="W681" s="88"/>
      <c r="X681" s="88"/>
      <c r="Y681" s="88"/>
      <c r="Z681" s="88"/>
      <c r="AA681" s="88"/>
      <c r="AB681" s="88"/>
      <c r="AC681" s="88"/>
      <c r="AD681" s="88"/>
      <c r="AE681" s="88"/>
    </row>
    <row r="682" spans="12:31" ht="15.75" customHeight="1" x14ac:dyDescent="0.3">
      <c r="L682" s="88"/>
      <c r="M682" s="88"/>
      <c r="N682" s="88"/>
      <c r="O682" s="88"/>
      <c r="P682" s="88"/>
      <c r="Q682" s="88"/>
      <c r="R682" s="88"/>
      <c r="S682" s="88"/>
      <c r="T682" s="88"/>
      <c r="U682" s="88"/>
      <c r="V682" s="88"/>
      <c r="W682" s="88"/>
      <c r="X682" s="88"/>
      <c r="Y682" s="88"/>
      <c r="Z682" s="88"/>
      <c r="AA682" s="88"/>
      <c r="AB682" s="88"/>
      <c r="AC682" s="88"/>
      <c r="AD682" s="88"/>
      <c r="AE682" s="88"/>
    </row>
    <row r="683" spans="12:31" ht="15.75" customHeight="1" x14ac:dyDescent="0.3">
      <c r="L683" s="88"/>
      <c r="M683" s="88"/>
      <c r="N683" s="88"/>
      <c r="O683" s="88"/>
      <c r="P683" s="88"/>
      <c r="Q683" s="88"/>
      <c r="R683" s="88"/>
      <c r="S683" s="88"/>
      <c r="T683" s="88"/>
      <c r="U683" s="88"/>
      <c r="V683" s="88"/>
      <c r="W683" s="88"/>
      <c r="X683" s="88"/>
      <c r="Y683" s="88"/>
      <c r="Z683" s="88"/>
      <c r="AA683" s="88"/>
      <c r="AB683" s="88"/>
      <c r="AC683" s="88"/>
      <c r="AD683" s="88"/>
      <c r="AE683" s="88"/>
    </row>
    <row r="684" spans="12:31" ht="15.75" customHeight="1" x14ac:dyDescent="0.3">
      <c r="L684" s="88"/>
      <c r="M684" s="88"/>
      <c r="N684" s="88"/>
      <c r="O684" s="88"/>
      <c r="P684" s="88"/>
      <c r="Q684" s="88"/>
      <c r="R684" s="88"/>
      <c r="S684" s="88"/>
      <c r="T684" s="88"/>
      <c r="U684" s="88"/>
      <c r="V684" s="88"/>
      <c r="W684" s="88"/>
      <c r="X684" s="88"/>
      <c r="Y684" s="88"/>
      <c r="Z684" s="88"/>
      <c r="AA684" s="88"/>
      <c r="AB684" s="88"/>
      <c r="AC684" s="88"/>
      <c r="AD684" s="88"/>
      <c r="AE684" s="88"/>
    </row>
    <row r="685" spans="12:31" ht="15.75" customHeight="1" x14ac:dyDescent="0.3">
      <c r="L685" s="88"/>
      <c r="M685" s="88"/>
      <c r="N685" s="88"/>
      <c r="O685" s="88"/>
      <c r="P685" s="88"/>
      <c r="Q685" s="88"/>
      <c r="R685" s="88"/>
      <c r="S685" s="88"/>
      <c r="T685" s="88"/>
      <c r="U685" s="88"/>
      <c r="V685" s="88"/>
      <c r="W685" s="88"/>
      <c r="X685" s="88"/>
      <c r="Y685" s="88"/>
      <c r="Z685" s="88"/>
      <c r="AA685" s="88"/>
      <c r="AB685" s="88"/>
      <c r="AC685" s="88"/>
      <c r="AD685" s="88"/>
      <c r="AE685" s="88"/>
    </row>
    <row r="686" spans="12:31" ht="15.75" customHeight="1" x14ac:dyDescent="0.3">
      <c r="L686" s="88"/>
      <c r="M686" s="88"/>
      <c r="N686" s="88"/>
      <c r="O686" s="88"/>
      <c r="P686" s="88"/>
      <c r="Q686" s="88"/>
      <c r="R686" s="88"/>
      <c r="S686" s="88"/>
      <c r="T686" s="88"/>
      <c r="U686" s="88"/>
      <c r="V686" s="88"/>
      <c r="W686" s="88"/>
      <c r="X686" s="88"/>
      <c r="Y686" s="88"/>
      <c r="Z686" s="88"/>
      <c r="AA686" s="88"/>
      <c r="AB686" s="88"/>
      <c r="AC686" s="88"/>
      <c r="AD686" s="88"/>
      <c r="AE686" s="88"/>
    </row>
    <row r="687" spans="12:31" ht="15.75" customHeight="1" x14ac:dyDescent="0.3">
      <c r="L687" s="88"/>
      <c r="M687" s="88"/>
      <c r="N687" s="88"/>
      <c r="O687" s="88"/>
      <c r="P687" s="88"/>
      <c r="Q687" s="88"/>
      <c r="R687" s="88"/>
      <c r="S687" s="88"/>
      <c r="T687" s="88"/>
      <c r="U687" s="88"/>
      <c r="V687" s="88"/>
      <c r="W687" s="88"/>
      <c r="X687" s="88"/>
      <c r="Y687" s="88"/>
      <c r="Z687" s="88"/>
      <c r="AA687" s="88"/>
      <c r="AB687" s="88"/>
      <c r="AC687" s="88"/>
      <c r="AD687" s="88"/>
      <c r="AE687" s="88"/>
    </row>
    <row r="688" spans="12:31" ht="15.75" customHeight="1" x14ac:dyDescent="0.3">
      <c r="L688" s="88"/>
      <c r="M688" s="88"/>
      <c r="N688" s="88"/>
      <c r="O688" s="88"/>
      <c r="P688" s="88"/>
      <c r="Q688" s="88"/>
      <c r="R688" s="88"/>
      <c r="S688" s="88"/>
      <c r="T688" s="88"/>
      <c r="U688" s="88"/>
      <c r="V688" s="88"/>
      <c r="W688" s="88"/>
      <c r="X688" s="88"/>
      <c r="Y688" s="88"/>
      <c r="Z688" s="88"/>
      <c r="AA688" s="88"/>
      <c r="AB688" s="88"/>
      <c r="AC688" s="88"/>
      <c r="AD688" s="88"/>
      <c r="AE688" s="88"/>
    </row>
    <row r="689" spans="12:31" ht="15.75" customHeight="1" x14ac:dyDescent="0.3">
      <c r="L689" s="88"/>
      <c r="M689" s="88"/>
      <c r="N689" s="88"/>
      <c r="O689" s="88"/>
      <c r="P689" s="88"/>
      <c r="Q689" s="88"/>
      <c r="R689" s="88"/>
      <c r="S689" s="88"/>
      <c r="T689" s="88"/>
      <c r="U689" s="88"/>
      <c r="V689" s="88"/>
      <c r="W689" s="88"/>
      <c r="X689" s="88"/>
      <c r="Y689" s="88"/>
      <c r="Z689" s="88"/>
      <c r="AA689" s="88"/>
      <c r="AB689" s="88"/>
      <c r="AC689" s="88"/>
      <c r="AD689" s="88"/>
      <c r="AE689" s="88"/>
    </row>
    <row r="690" spans="12:31" ht="15.75" customHeight="1" x14ac:dyDescent="0.3">
      <c r="L690" s="88"/>
      <c r="M690" s="88"/>
      <c r="N690" s="88"/>
      <c r="O690" s="88"/>
      <c r="P690" s="88"/>
      <c r="Q690" s="88"/>
      <c r="R690" s="88"/>
      <c r="S690" s="88"/>
      <c r="T690" s="88"/>
      <c r="U690" s="88"/>
      <c r="V690" s="88"/>
      <c r="W690" s="88"/>
      <c r="X690" s="88"/>
      <c r="Y690" s="88"/>
      <c r="Z690" s="88"/>
      <c r="AA690" s="88"/>
      <c r="AB690" s="88"/>
      <c r="AC690" s="88"/>
      <c r="AD690" s="88"/>
      <c r="AE690" s="88"/>
    </row>
    <row r="691" spans="12:31" ht="15.75" customHeight="1" x14ac:dyDescent="0.3">
      <c r="L691" s="88"/>
      <c r="M691" s="88"/>
      <c r="N691" s="88"/>
      <c r="O691" s="88"/>
      <c r="P691" s="88"/>
      <c r="Q691" s="88"/>
      <c r="R691" s="88"/>
      <c r="S691" s="88"/>
      <c r="T691" s="88"/>
      <c r="U691" s="88"/>
      <c r="V691" s="88"/>
      <c r="W691" s="88"/>
      <c r="X691" s="88"/>
      <c r="Y691" s="88"/>
      <c r="Z691" s="88"/>
      <c r="AA691" s="88"/>
      <c r="AB691" s="88"/>
      <c r="AC691" s="88"/>
      <c r="AD691" s="88"/>
      <c r="AE691" s="88"/>
    </row>
    <row r="692" spans="12:31" ht="15.75" customHeight="1" x14ac:dyDescent="0.3">
      <c r="L692" s="88"/>
      <c r="M692" s="88"/>
      <c r="N692" s="88"/>
      <c r="O692" s="88"/>
      <c r="P692" s="88"/>
      <c r="Q692" s="88"/>
      <c r="R692" s="88"/>
      <c r="S692" s="88"/>
      <c r="T692" s="88"/>
      <c r="U692" s="88"/>
      <c r="V692" s="88"/>
      <c r="W692" s="88"/>
      <c r="X692" s="88"/>
      <c r="Y692" s="88"/>
      <c r="Z692" s="88"/>
      <c r="AA692" s="88"/>
      <c r="AB692" s="88"/>
      <c r="AC692" s="88"/>
      <c r="AD692" s="88"/>
      <c r="AE692" s="88"/>
    </row>
    <row r="693" spans="12:31" ht="15.75" customHeight="1" x14ac:dyDescent="0.3">
      <c r="L693" s="88"/>
      <c r="M693" s="88"/>
      <c r="N693" s="88"/>
      <c r="O693" s="88"/>
      <c r="P693" s="88"/>
      <c r="Q693" s="88"/>
      <c r="R693" s="88"/>
      <c r="S693" s="88"/>
      <c r="T693" s="88"/>
      <c r="U693" s="88"/>
      <c r="V693" s="88"/>
      <c r="W693" s="88"/>
      <c r="X693" s="88"/>
      <c r="Y693" s="88"/>
      <c r="Z693" s="88"/>
      <c r="AA693" s="88"/>
      <c r="AB693" s="88"/>
      <c r="AC693" s="88"/>
      <c r="AD693" s="88"/>
      <c r="AE693" s="88"/>
    </row>
    <row r="694" spans="12:31" ht="15.75" customHeight="1" x14ac:dyDescent="0.3">
      <c r="L694" s="88"/>
      <c r="M694" s="88"/>
      <c r="N694" s="88"/>
      <c r="O694" s="88"/>
      <c r="P694" s="88"/>
      <c r="Q694" s="88"/>
      <c r="R694" s="88"/>
      <c r="S694" s="88"/>
      <c r="T694" s="88"/>
      <c r="U694" s="88"/>
      <c r="V694" s="88"/>
      <c r="W694" s="88"/>
      <c r="X694" s="88"/>
      <c r="Y694" s="88"/>
      <c r="Z694" s="88"/>
      <c r="AA694" s="88"/>
      <c r="AB694" s="88"/>
      <c r="AC694" s="88"/>
      <c r="AD694" s="88"/>
      <c r="AE694" s="88"/>
    </row>
    <row r="695" spans="12:31" ht="15.75" customHeight="1" x14ac:dyDescent="0.3">
      <c r="L695" s="88"/>
      <c r="M695" s="88"/>
      <c r="N695" s="88"/>
      <c r="O695" s="88"/>
      <c r="P695" s="88"/>
      <c r="Q695" s="88"/>
      <c r="R695" s="88"/>
      <c r="S695" s="88"/>
      <c r="T695" s="88"/>
      <c r="U695" s="88"/>
      <c r="V695" s="88"/>
      <c r="W695" s="88"/>
      <c r="X695" s="88"/>
      <c r="Y695" s="88"/>
      <c r="Z695" s="88"/>
      <c r="AA695" s="88"/>
      <c r="AB695" s="88"/>
      <c r="AC695" s="88"/>
      <c r="AD695" s="88"/>
      <c r="AE695" s="88"/>
    </row>
    <row r="696" spans="12:31" ht="15.75" customHeight="1" x14ac:dyDescent="0.3">
      <c r="L696" s="88"/>
      <c r="M696" s="88"/>
      <c r="N696" s="88"/>
      <c r="O696" s="88"/>
      <c r="P696" s="88"/>
      <c r="Q696" s="88"/>
      <c r="R696" s="88"/>
      <c r="S696" s="88"/>
      <c r="T696" s="88"/>
      <c r="U696" s="88"/>
      <c r="V696" s="88"/>
      <c r="W696" s="88"/>
      <c r="X696" s="88"/>
      <c r="Y696" s="88"/>
      <c r="Z696" s="88"/>
      <c r="AA696" s="88"/>
      <c r="AB696" s="88"/>
      <c r="AC696" s="88"/>
      <c r="AD696" s="88"/>
      <c r="AE696" s="88"/>
    </row>
    <row r="697" spans="12:31" ht="15.75" customHeight="1" x14ac:dyDescent="0.3">
      <c r="L697" s="88"/>
      <c r="M697" s="88"/>
      <c r="N697" s="88"/>
      <c r="O697" s="88"/>
      <c r="P697" s="88"/>
      <c r="Q697" s="88"/>
      <c r="R697" s="88"/>
      <c r="S697" s="88"/>
      <c r="T697" s="88"/>
      <c r="U697" s="88"/>
      <c r="V697" s="88"/>
      <c r="W697" s="88"/>
      <c r="X697" s="88"/>
      <c r="Y697" s="88"/>
      <c r="Z697" s="88"/>
      <c r="AA697" s="88"/>
      <c r="AB697" s="88"/>
      <c r="AC697" s="88"/>
      <c r="AD697" s="88"/>
      <c r="AE697" s="88"/>
    </row>
    <row r="698" spans="12:31" ht="15.75" customHeight="1" x14ac:dyDescent="0.3">
      <c r="L698" s="88"/>
      <c r="M698" s="88"/>
      <c r="N698" s="88"/>
      <c r="O698" s="88"/>
      <c r="P698" s="88"/>
      <c r="Q698" s="88"/>
      <c r="R698" s="88"/>
      <c r="S698" s="88"/>
      <c r="T698" s="88"/>
      <c r="U698" s="88"/>
      <c r="V698" s="88"/>
      <c r="W698" s="88"/>
      <c r="X698" s="88"/>
      <c r="Y698" s="88"/>
      <c r="Z698" s="88"/>
      <c r="AA698" s="88"/>
      <c r="AB698" s="88"/>
      <c r="AC698" s="88"/>
      <c r="AD698" s="88"/>
      <c r="AE698" s="88"/>
    </row>
    <row r="699" spans="12:31" ht="15.75" customHeight="1" x14ac:dyDescent="0.3">
      <c r="L699" s="88"/>
      <c r="M699" s="88"/>
      <c r="N699" s="88"/>
      <c r="O699" s="88"/>
      <c r="P699" s="88"/>
      <c r="Q699" s="88"/>
      <c r="R699" s="88"/>
      <c r="S699" s="88"/>
      <c r="T699" s="88"/>
      <c r="U699" s="88"/>
      <c r="V699" s="88"/>
      <c r="W699" s="88"/>
      <c r="X699" s="88"/>
      <c r="Y699" s="88"/>
      <c r="Z699" s="88"/>
      <c r="AA699" s="88"/>
      <c r="AB699" s="88"/>
      <c r="AC699" s="88"/>
      <c r="AD699" s="88"/>
      <c r="AE699" s="88"/>
    </row>
    <row r="700" spans="12:31" ht="15.75" customHeight="1" x14ac:dyDescent="0.3">
      <c r="L700" s="88"/>
      <c r="M700" s="88"/>
      <c r="N700" s="88"/>
      <c r="O700" s="88"/>
      <c r="P700" s="88"/>
      <c r="Q700" s="88"/>
      <c r="R700" s="88"/>
      <c r="S700" s="88"/>
      <c r="T700" s="88"/>
      <c r="U700" s="88"/>
      <c r="V700" s="88"/>
      <c r="W700" s="88"/>
      <c r="X700" s="88"/>
      <c r="Y700" s="88"/>
      <c r="Z700" s="88"/>
      <c r="AA700" s="88"/>
      <c r="AB700" s="88"/>
      <c r="AC700" s="88"/>
      <c r="AD700" s="88"/>
      <c r="AE700" s="88"/>
    </row>
    <row r="701" spans="12:31" ht="15.75" customHeight="1" x14ac:dyDescent="0.3">
      <c r="L701" s="88"/>
      <c r="M701" s="88"/>
      <c r="N701" s="88"/>
      <c r="O701" s="88"/>
      <c r="P701" s="88"/>
      <c r="Q701" s="88"/>
      <c r="R701" s="88"/>
      <c r="S701" s="88"/>
      <c r="T701" s="88"/>
      <c r="U701" s="88"/>
      <c r="V701" s="88"/>
      <c r="W701" s="88"/>
      <c r="X701" s="88"/>
      <c r="Y701" s="88"/>
      <c r="Z701" s="88"/>
      <c r="AA701" s="88"/>
      <c r="AB701" s="88"/>
      <c r="AC701" s="88"/>
      <c r="AD701" s="88"/>
      <c r="AE701" s="88"/>
    </row>
    <row r="702" spans="12:31" ht="15.75" customHeight="1" x14ac:dyDescent="0.3">
      <c r="L702" s="88"/>
      <c r="M702" s="88"/>
      <c r="N702" s="88"/>
      <c r="O702" s="88"/>
      <c r="P702" s="88"/>
      <c r="Q702" s="88"/>
      <c r="R702" s="88"/>
      <c r="S702" s="88"/>
      <c r="T702" s="88"/>
      <c r="U702" s="88"/>
      <c r="V702" s="88"/>
      <c r="W702" s="88"/>
      <c r="X702" s="88"/>
      <c r="Y702" s="88"/>
      <c r="Z702" s="88"/>
      <c r="AA702" s="88"/>
      <c r="AB702" s="88"/>
      <c r="AC702" s="88"/>
      <c r="AD702" s="88"/>
      <c r="AE702" s="88"/>
    </row>
    <row r="703" spans="12:31" ht="15.75" customHeight="1" x14ac:dyDescent="0.3">
      <c r="L703" s="88"/>
      <c r="M703" s="88"/>
      <c r="N703" s="88"/>
      <c r="O703" s="88"/>
      <c r="P703" s="88"/>
      <c r="Q703" s="88"/>
      <c r="R703" s="88"/>
      <c r="S703" s="88"/>
      <c r="T703" s="88"/>
      <c r="U703" s="88"/>
      <c r="V703" s="88"/>
      <c r="W703" s="88"/>
      <c r="X703" s="88"/>
      <c r="Y703" s="88"/>
      <c r="Z703" s="88"/>
      <c r="AA703" s="88"/>
      <c r="AB703" s="88"/>
      <c r="AC703" s="88"/>
      <c r="AD703" s="88"/>
      <c r="AE703" s="88"/>
    </row>
    <row r="704" spans="12:31" ht="15.75" customHeight="1" x14ac:dyDescent="0.3">
      <c r="L704" s="88"/>
      <c r="M704" s="88"/>
      <c r="N704" s="88"/>
      <c r="O704" s="88"/>
      <c r="P704" s="88"/>
      <c r="Q704" s="88"/>
      <c r="R704" s="88"/>
      <c r="S704" s="88"/>
      <c r="T704" s="88"/>
      <c r="U704" s="88"/>
      <c r="V704" s="88"/>
      <c r="W704" s="88"/>
      <c r="X704" s="88"/>
      <c r="Y704" s="88"/>
      <c r="Z704" s="88"/>
      <c r="AA704" s="88"/>
      <c r="AB704" s="88"/>
      <c r="AC704" s="88"/>
      <c r="AD704" s="88"/>
      <c r="AE704" s="88"/>
    </row>
    <row r="705" spans="12:31" ht="15.75" customHeight="1" x14ac:dyDescent="0.3">
      <c r="L705" s="88"/>
      <c r="M705" s="88"/>
      <c r="N705" s="88"/>
      <c r="O705" s="88"/>
      <c r="P705" s="88"/>
      <c r="Q705" s="88"/>
      <c r="R705" s="88"/>
      <c r="S705" s="88"/>
      <c r="T705" s="88"/>
      <c r="U705" s="88"/>
      <c r="V705" s="88"/>
      <c r="W705" s="88"/>
      <c r="X705" s="88"/>
      <c r="Y705" s="88"/>
      <c r="Z705" s="88"/>
      <c r="AA705" s="88"/>
      <c r="AB705" s="88"/>
      <c r="AC705" s="88"/>
      <c r="AD705" s="88"/>
      <c r="AE705" s="88"/>
    </row>
    <row r="706" spans="12:31" ht="15.75" customHeight="1" x14ac:dyDescent="0.3">
      <c r="L706" s="88"/>
      <c r="M706" s="88"/>
      <c r="N706" s="88"/>
      <c r="O706" s="88"/>
      <c r="P706" s="88"/>
      <c r="Q706" s="88"/>
      <c r="R706" s="88"/>
      <c r="S706" s="88"/>
      <c r="T706" s="88"/>
      <c r="U706" s="88"/>
      <c r="V706" s="88"/>
      <c r="W706" s="88"/>
      <c r="X706" s="88"/>
      <c r="Y706" s="88"/>
      <c r="Z706" s="88"/>
      <c r="AA706" s="88"/>
      <c r="AB706" s="88"/>
      <c r="AC706" s="88"/>
      <c r="AD706" s="88"/>
      <c r="AE706" s="88"/>
    </row>
    <row r="707" spans="12:31" ht="15.75" customHeight="1" x14ac:dyDescent="0.3">
      <c r="L707" s="88"/>
      <c r="M707" s="88"/>
      <c r="N707" s="88"/>
      <c r="O707" s="88"/>
      <c r="P707" s="88"/>
      <c r="Q707" s="88"/>
      <c r="R707" s="88"/>
      <c r="S707" s="88"/>
      <c r="T707" s="88"/>
      <c r="U707" s="88"/>
      <c r="V707" s="88"/>
      <c r="W707" s="88"/>
      <c r="X707" s="88"/>
      <c r="Y707" s="88"/>
      <c r="Z707" s="88"/>
      <c r="AA707" s="88"/>
      <c r="AB707" s="88"/>
      <c r="AC707" s="88"/>
      <c r="AD707" s="88"/>
      <c r="AE707" s="88"/>
    </row>
    <row r="708" spans="12:31" ht="15.75" customHeight="1" x14ac:dyDescent="0.3">
      <c r="L708" s="88"/>
      <c r="M708" s="88"/>
      <c r="N708" s="88"/>
      <c r="O708" s="88"/>
      <c r="P708" s="88"/>
      <c r="Q708" s="88"/>
      <c r="R708" s="88"/>
      <c r="S708" s="88"/>
      <c r="T708" s="88"/>
      <c r="U708" s="88"/>
      <c r="V708" s="88"/>
      <c r="W708" s="88"/>
      <c r="X708" s="88"/>
      <c r="Y708" s="88"/>
      <c r="Z708" s="88"/>
      <c r="AA708" s="88"/>
      <c r="AB708" s="88"/>
      <c r="AC708" s="88"/>
      <c r="AD708" s="88"/>
      <c r="AE708" s="88"/>
    </row>
    <row r="709" spans="12:31" ht="15.75" customHeight="1" x14ac:dyDescent="0.3">
      <c r="L709" s="88"/>
      <c r="M709" s="88"/>
      <c r="N709" s="88"/>
      <c r="O709" s="88"/>
      <c r="P709" s="88"/>
      <c r="Q709" s="88"/>
      <c r="R709" s="88"/>
      <c r="S709" s="88"/>
      <c r="T709" s="88"/>
      <c r="U709" s="88"/>
      <c r="V709" s="88"/>
      <c r="W709" s="88"/>
      <c r="X709" s="88"/>
      <c r="Y709" s="88"/>
      <c r="Z709" s="88"/>
      <c r="AA709" s="88"/>
      <c r="AB709" s="88"/>
      <c r="AC709" s="88"/>
      <c r="AD709" s="88"/>
      <c r="AE709" s="88"/>
    </row>
    <row r="710" spans="12:31" ht="15.75" customHeight="1" x14ac:dyDescent="0.3">
      <c r="L710" s="88"/>
      <c r="M710" s="88"/>
      <c r="N710" s="88"/>
      <c r="O710" s="88"/>
      <c r="P710" s="88"/>
      <c r="Q710" s="88"/>
      <c r="R710" s="88"/>
      <c r="S710" s="88"/>
      <c r="T710" s="88"/>
      <c r="U710" s="88"/>
      <c r="V710" s="88"/>
      <c r="W710" s="88"/>
      <c r="X710" s="88"/>
      <c r="Y710" s="88"/>
      <c r="Z710" s="88"/>
      <c r="AA710" s="88"/>
      <c r="AB710" s="88"/>
      <c r="AC710" s="88"/>
      <c r="AD710" s="88"/>
      <c r="AE710" s="88"/>
    </row>
    <row r="711" spans="12:31" ht="15.75" customHeight="1" x14ac:dyDescent="0.3">
      <c r="L711" s="88"/>
      <c r="M711" s="88"/>
      <c r="N711" s="88"/>
      <c r="O711" s="88"/>
      <c r="P711" s="88"/>
      <c r="Q711" s="88"/>
      <c r="R711" s="88"/>
      <c r="S711" s="88"/>
      <c r="T711" s="88"/>
      <c r="U711" s="88"/>
      <c r="V711" s="88"/>
      <c r="W711" s="88"/>
      <c r="X711" s="88"/>
      <c r="Y711" s="88"/>
      <c r="Z711" s="88"/>
      <c r="AA711" s="88"/>
      <c r="AB711" s="88"/>
      <c r="AC711" s="88"/>
      <c r="AD711" s="88"/>
      <c r="AE711" s="88"/>
    </row>
    <row r="712" spans="12:31" ht="15.75" customHeight="1" x14ac:dyDescent="0.3">
      <c r="L712" s="88"/>
      <c r="M712" s="88"/>
      <c r="N712" s="88"/>
      <c r="O712" s="88"/>
      <c r="P712" s="88"/>
      <c r="Q712" s="88"/>
      <c r="R712" s="88"/>
      <c r="S712" s="88"/>
      <c r="T712" s="88"/>
      <c r="U712" s="88"/>
      <c r="V712" s="88"/>
      <c r="W712" s="88"/>
      <c r="X712" s="88"/>
      <c r="Y712" s="88"/>
      <c r="Z712" s="88"/>
      <c r="AA712" s="88"/>
      <c r="AB712" s="88"/>
      <c r="AC712" s="88"/>
      <c r="AD712" s="88"/>
      <c r="AE712" s="88"/>
    </row>
    <row r="713" spans="12:31" ht="15.75" customHeight="1" x14ac:dyDescent="0.3">
      <c r="L713" s="88"/>
      <c r="M713" s="88"/>
      <c r="N713" s="88"/>
      <c r="O713" s="88"/>
      <c r="P713" s="88"/>
      <c r="Q713" s="88"/>
      <c r="R713" s="88"/>
      <c r="S713" s="88"/>
      <c r="T713" s="88"/>
      <c r="U713" s="88"/>
      <c r="V713" s="88"/>
      <c r="W713" s="88"/>
      <c r="X713" s="88"/>
      <c r="Y713" s="88"/>
      <c r="Z713" s="88"/>
      <c r="AA713" s="88"/>
      <c r="AB713" s="88"/>
      <c r="AC713" s="88"/>
      <c r="AD713" s="88"/>
      <c r="AE713" s="88"/>
    </row>
    <row r="714" spans="12:31" ht="15.75" customHeight="1" x14ac:dyDescent="0.3">
      <c r="L714" s="88"/>
      <c r="M714" s="88"/>
      <c r="N714" s="88"/>
      <c r="O714" s="88"/>
      <c r="P714" s="88"/>
      <c r="Q714" s="88"/>
      <c r="R714" s="88"/>
      <c r="S714" s="88"/>
      <c r="T714" s="88"/>
      <c r="U714" s="88"/>
      <c r="V714" s="88"/>
      <c r="W714" s="88"/>
      <c r="X714" s="88"/>
      <c r="Y714" s="88"/>
      <c r="Z714" s="88"/>
      <c r="AA714" s="88"/>
      <c r="AB714" s="88"/>
      <c r="AC714" s="88"/>
      <c r="AD714" s="88"/>
      <c r="AE714" s="88"/>
    </row>
    <row r="715" spans="12:31" ht="15.75" customHeight="1" x14ac:dyDescent="0.3">
      <c r="L715" s="88"/>
      <c r="M715" s="88"/>
      <c r="N715" s="88"/>
      <c r="O715" s="88"/>
      <c r="P715" s="88"/>
      <c r="Q715" s="88"/>
      <c r="R715" s="88"/>
      <c r="S715" s="88"/>
      <c r="T715" s="88"/>
      <c r="U715" s="88"/>
      <c r="V715" s="88"/>
      <c r="W715" s="88"/>
      <c r="X715" s="88"/>
      <c r="Y715" s="88"/>
      <c r="Z715" s="88"/>
      <c r="AA715" s="88"/>
      <c r="AB715" s="88"/>
      <c r="AC715" s="88"/>
      <c r="AD715" s="88"/>
      <c r="AE715" s="88"/>
    </row>
    <row r="716" spans="12:31" ht="15.75" customHeight="1" x14ac:dyDescent="0.3">
      <c r="L716" s="88"/>
      <c r="M716" s="88"/>
      <c r="N716" s="88"/>
      <c r="O716" s="88"/>
      <c r="P716" s="88"/>
      <c r="Q716" s="88"/>
      <c r="R716" s="88"/>
      <c r="S716" s="88"/>
      <c r="T716" s="88"/>
      <c r="U716" s="88"/>
      <c r="V716" s="88"/>
      <c r="W716" s="88"/>
      <c r="X716" s="88"/>
      <c r="Y716" s="88"/>
      <c r="Z716" s="88"/>
      <c r="AA716" s="88"/>
      <c r="AB716" s="88"/>
      <c r="AC716" s="88"/>
      <c r="AD716" s="88"/>
      <c r="AE716" s="88"/>
    </row>
    <row r="717" spans="12:31" ht="15.75" customHeight="1" x14ac:dyDescent="0.3">
      <c r="L717" s="88"/>
      <c r="M717" s="88"/>
      <c r="N717" s="88"/>
      <c r="O717" s="88"/>
      <c r="P717" s="88"/>
      <c r="Q717" s="88"/>
      <c r="R717" s="88"/>
      <c r="S717" s="88"/>
      <c r="T717" s="88"/>
      <c r="U717" s="88"/>
      <c r="V717" s="88"/>
      <c r="W717" s="88"/>
      <c r="X717" s="88"/>
      <c r="Y717" s="88"/>
      <c r="Z717" s="88"/>
      <c r="AA717" s="88"/>
      <c r="AB717" s="88"/>
      <c r="AC717" s="88"/>
      <c r="AD717" s="88"/>
      <c r="AE717" s="88"/>
    </row>
    <row r="718" spans="12:31" ht="15.75" customHeight="1" x14ac:dyDescent="0.3">
      <c r="L718" s="88"/>
      <c r="M718" s="88"/>
      <c r="N718" s="88"/>
      <c r="O718" s="88"/>
      <c r="P718" s="88"/>
      <c r="Q718" s="88"/>
      <c r="R718" s="88"/>
      <c r="S718" s="88"/>
      <c r="T718" s="88"/>
      <c r="U718" s="88"/>
      <c r="V718" s="88"/>
      <c r="W718" s="88"/>
      <c r="X718" s="88"/>
      <c r="Y718" s="88"/>
      <c r="Z718" s="88"/>
      <c r="AA718" s="88"/>
      <c r="AB718" s="88"/>
      <c r="AC718" s="88"/>
      <c r="AD718" s="88"/>
      <c r="AE718" s="88"/>
    </row>
    <row r="719" spans="12:31" ht="15.75" customHeight="1" x14ac:dyDescent="0.3">
      <c r="L719" s="88"/>
      <c r="M719" s="88"/>
      <c r="N719" s="88"/>
      <c r="O719" s="88"/>
      <c r="P719" s="88"/>
      <c r="Q719" s="88"/>
      <c r="R719" s="88"/>
      <c r="S719" s="88"/>
      <c r="T719" s="88"/>
      <c r="U719" s="88"/>
      <c r="V719" s="88"/>
      <c r="W719" s="88"/>
      <c r="X719" s="88"/>
      <c r="Y719" s="88"/>
      <c r="Z719" s="88"/>
      <c r="AA719" s="88"/>
      <c r="AB719" s="88"/>
      <c r="AC719" s="88"/>
      <c r="AD719" s="88"/>
      <c r="AE719" s="88"/>
    </row>
    <row r="720" spans="12:31" ht="15.75" customHeight="1" x14ac:dyDescent="0.3">
      <c r="L720" s="88"/>
      <c r="M720" s="88"/>
      <c r="N720" s="88"/>
      <c r="O720" s="88"/>
      <c r="P720" s="88"/>
      <c r="Q720" s="88"/>
      <c r="R720" s="88"/>
      <c r="S720" s="88"/>
      <c r="T720" s="88"/>
      <c r="U720" s="88"/>
      <c r="V720" s="88"/>
      <c r="W720" s="88"/>
      <c r="X720" s="88"/>
      <c r="Y720" s="88"/>
      <c r="Z720" s="88"/>
      <c r="AA720" s="88"/>
      <c r="AB720" s="88"/>
      <c r="AC720" s="88"/>
      <c r="AD720" s="88"/>
      <c r="AE720" s="88"/>
    </row>
    <row r="721" spans="12:31" ht="15.75" customHeight="1" x14ac:dyDescent="0.3">
      <c r="L721" s="88"/>
      <c r="M721" s="88"/>
      <c r="N721" s="88"/>
      <c r="O721" s="88"/>
      <c r="P721" s="88"/>
      <c r="Q721" s="88"/>
      <c r="R721" s="88"/>
      <c r="S721" s="88"/>
      <c r="T721" s="88"/>
      <c r="U721" s="88"/>
      <c r="V721" s="88"/>
      <c r="W721" s="88"/>
      <c r="X721" s="88"/>
      <c r="Y721" s="88"/>
      <c r="Z721" s="88"/>
      <c r="AA721" s="88"/>
      <c r="AB721" s="88"/>
      <c r="AC721" s="88"/>
      <c r="AD721" s="88"/>
      <c r="AE721" s="88"/>
    </row>
    <row r="722" spans="12:31" ht="15.75" customHeight="1" x14ac:dyDescent="0.3">
      <c r="L722" s="88"/>
      <c r="M722" s="88"/>
      <c r="N722" s="88"/>
      <c r="O722" s="88"/>
      <c r="P722" s="88"/>
      <c r="Q722" s="88"/>
      <c r="R722" s="88"/>
      <c r="S722" s="88"/>
      <c r="T722" s="88"/>
      <c r="U722" s="88"/>
      <c r="V722" s="88"/>
      <c r="W722" s="88"/>
      <c r="X722" s="88"/>
      <c r="Y722" s="88"/>
      <c r="Z722" s="88"/>
      <c r="AA722" s="88"/>
      <c r="AB722" s="88"/>
      <c r="AC722" s="88"/>
      <c r="AD722" s="88"/>
      <c r="AE722" s="88"/>
    </row>
    <row r="723" spans="12:31" ht="15.75" customHeight="1" x14ac:dyDescent="0.3">
      <c r="L723" s="88"/>
      <c r="M723" s="88"/>
      <c r="N723" s="88"/>
      <c r="O723" s="88"/>
      <c r="P723" s="88"/>
      <c r="Q723" s="88"/>
      <c r="R723" s="88"/>
      <c r="S723" s="88"/>
      <c r="T723" s="88"/>
      <c r="U723" s="88"/>
      <c r="V723" s="88"/>
      <c r="W723" s="88"/>
      <c r="X723" s="88"/>
      <c r="Y723" s="88"/>
      <c r="Z723" s="88"/>
      <c r="AA723" s="88"/>
      <c r="AB723" s="88"/>
      <c r="AC723" s="88"/>
      <c r="AD723" s="88"/>
      <c r="AE723" s="88"/>
    </row>
    <row r="724" spans="12:31" ht="15.75" customHeight="1" x14ac:dyDescent="0.3">
      <c r="L724" s="88"/>
      <c r="M724" s="88"/>
      <c r="N724" s="88"/>
      <c r="O724" s="88"/>
      <c r="P724" s="88"/>
      <c r="Q724" s="88"/>
      <c r="R724" s="88"/>
      <c r="S724" s="88"/>
      <c r="T724" s="88"/>
      <c r="U724" s="88"/>
      <c r="V724" s="88"/>
      <c r="W724" s="88"/>
      <c r="X724" s="88"/>
      <c r="Y724" s="88"/>
      <c r="Z724" s="88"/>
      <c r="AA724" s="88"/>
      <c r="AB724" s="88"/>
      <c r="AC724" s="88"/>
      <c r="AD724" s="88"/>
      <c r="AE724" s="88"/>
    </row>
    <row r="725" spans="12:31" ht="15.75" customHeight="1" x14ac:dyDescent="0.3">
      <c r="L725" s="88"/>
      <c r="M725" s="88"/>
      <c r="N725" s="88"/>
      <c r="O725" s="88"/>
      <c r="P725" s="88"/>
      <c r="Q725" s="88"/>
      <c r="R725" s="88"/>
      <c r="S725" s="88"/>
      <c r="T725" s="88"/>
      <c r="U725" s="88"/>
      <c r="V725" s="88"/>
      <c r="W725" s="88"/>
      <c r="X725" s="88"/>
      <c r="Y725" s="88"/>
      <c r="Z725" s="88"/>
      <c r="AA725" s="88"/>
      <c r="AB725" s="88"/>
      <c r="AC725" s="88"/>
      <c r="AD725" s="88"/>
      <c r="AE725" s="88"/>
    </row>
    <row r="726" spans="12:31" ht="15.75" customHeight="1" x14ac:dyDescent="0.3">
      <c r="L726" s="88"/>
      <c r="M726" s="88"/>
      <c r="N726" s="88"/>
      <c r="O726" s="88"/>
      <c r="P726" s="88"/>
      <c r="Q726" s="88"/>
      <c r="R726" s="88"/>
      <c r="S726" s="88"/>
      <c r="T726" s="88"/>
      <c r="U726" s="88"/>
      <c r="V726" s="88"/>
      <c r="W726" s="88"/>
      <c r="X726" s="88"/>
      <c r="Y726" s="88"/>
      <c r="Z726" s="88"/>
      <c r="AA726" s="88"/>
      <c r="AB726" s="88"/>
      <c r="AC726" s="88"/>
      <c r="AD726" s="88"/>
      <c r="AE726" s="88"/>
    </row>
    <row r="727" spans="12:31" ht="15.75" customHeight="1" x14ac:dyDescent="0.3">
      <c r="L727" s="88"/>
      <c r="M727" s="88"/>
      <c r="N727" s="88"/>
      <c r="O727" s="88"/>
      <c r="P727" s="88"/>
      <c r="Q727" s="88"/>
      <c r="R727" s="88"/>
      <c r="S727" s="88"/>
      <c r="T727" s="88"/>
      <c r="U727" s="88"/>
      <c r="V727" s="88"/>
      <c r="W727" s="88"/>
      <c r="X727" s="88"/>
      <c r="Y727" s="88"/>
      <c r="Z727" s="88"/>
      <c r="AA727" s="88"/>
      <c r="AB727" s="88"/>
      <c r="AC727" s="88"/>
      <c r="AD727" s="88"/>
      <c r="AE727" s="88"/>
    </row>
    <row r="728" spans="12:31" ht="15.75" customHeight="1" x14ac:dyDescent="0.3">
      <c r="L728" s="88"/>
      <c r="M728" s="88"/>
      <c r="N728" s="88"/>
      <c r="O728" s="88"/>
      <c r="P728" s="88"/>
      <c r="Q728" s="88"/>
      <c r="R728" s="88"/>
      <c r="S728" s="88"/>
      <c r="T728" s="88"/>
      <c r="U728" s="88"/>
      <c r="V728" s="88"/>
      <c r="W728" s="88"/>
      <c r="X728" s="88"/>
      <c r="Y728" s="88"/>
      <c r="Z728" s="88"/>
      <c r="AA728" s="88"/>
      <c r="AB728" s="88"/>
      <c r="AC728" s="88"/>
      <c r="AD728" s="88"/>
      <c r="AE728" s="88"/>
    </row>
    <row r="729" spans="12:31" ht="15.75" customHeight="1" x14ac:dyDescent="0.3">
      <c r="L729" s="88"/>
      <c r="M729" s="88"/>
      <c r="N729" s="88"/>
      <c r="O729" s="88"/>
      <c r="P729" s="88"/>
      <c r="Q729" s="88"/>
      <c r="R729" s="88"/>
      <c r="S729" s="88"/>
      <c r="T729" s="88"/>
      <c r="U729" s="88"/>
      <c r="V729" s="88"/>
      <c r="W729" s="88"/>
      <c r="X729" s="88"/>
      <c r="Y729" s="88"/>
      <c r="Z729" s="88"/>
      <c r="AA729" s="88"/>
      <c r="AB729" s="88"/>
      <c r="AC729" s="88"/>
      <c r="AD729" s="88"/>
      <c r="AE729" s="88"/>
    </row>
    <row r="730" spans="12:31" ht="15.75" customHeight="1" x14ac:dyDescent="0.3">
      <c r="L730" s="88"/>
      <c r="M730" s="88"/>
      <c r="N730" s="88"/>
      <c r="O730" s="88"/>
      <c r="P730" s="88"/>
      <c r="Q730" s="88"/>
      <c r="R730" s="88"/>
      <c r="S730" s="88"/>
      <c r="T730" s="88"/>
      <c r="U730" s="88"/>
      <c r="V730" s="88"/>
      <c r="W730" s="88"/>
      <c r="X730" s="88"/>
      <c r="Y730" s="88"/>
      <c r="Z730" s="88"/>
      <c r="AA730" s="88"/>
      <c r="AB730" s="88"/>
      <c r="AC730" s="88"/>
      <c r="AD730" s="88"/>
      <c r="AE730" s="88"/>
    </row>
    <row r="731" spans="12:31" ht="15.75" customHeight="1" x14ac:dyDescent="0.3">
      <c r="L731" s="88"/>
      <c r="M731" s="88"/>
      <c r="N731" s="88"/>
      <c r="O731" s="88"/>
      <c r="P731" s="88"/>
      <c r="Q731" s="88"/>
      <c r="R731" s="88"/>
      <c r="S731" s="88"/>
      <c r="T731" s="88"/>
      <c r="U731" s="88"/>
      <c r="V731" s="88"/>
      <c r="W731" s="88"/>
      <c r="X731" s="88"/>
      <c r="Y731" s="88"/>
      <c r="Z731" s="88"/>
      <c r="AA731" s="88"/>
      <c r="AB731" s="88"/>
      <c r="AC731" s="88"/>
      <c r="AD731" s="88"/>
      <c r="AE731" s="88"/>
    </row>
    <row r="732" spans="12:31" ht="15.75" customHeight="1" x14ac:dyDescent="0.3">
      <c r="L732" s="88"/>
      <c r="M732" s="88"/>
      <c r="N732" s="88"/>
      <c r="O732" s="88"/>
      <c r="P732" s="88"/>
      <c r="Q732" s="88"/>
      <c r="R732" s="88"/>
      <c r="S732" s="88"/>
      <c r="T732" s="88"/>
      <c r="U732" s="88"/>
      <c r="V732" s="88"/>
      <c r="W732" s="88"/>
      <c r="X732" s="88"/>
      <c r="Y732" s="88"/>
      <c r="Z732" s="88"/>
      <c r="AA732" s="88"/>
      <c r="AB732" s="88"/>
      <c r="AC732" s="88"/>
      <c r="AD732" s="88"/>
      <c r="AE732" s="88"/>
    </row>
    <row r="733" spans="12:31" ht="15.75" customHeight="1" x14ac:dyDescent="0.3">
      <c r="L733" s="88"/>
      <c r="M733" s="88"/>
      <c r="N733" s="88"/>
      <c r="O733" s="88"/>
      <c r="P733" s="88"/>
      <c r="Q733" s="88"/>
      <c r="R733" s="88"/>
      <c r="S733" s="88"/>
      <c r="T733" s="88"/>
      <c r="U733" s="88"/>
      <c r="V733" s="88"/>
      <c r="W733" s="88"/>
      <c r="X733" s="88"/>
      <c r="Y733" s="88"/>
      <c r="Z733" s="88"/>
      <c r="AA733" s="88"/>
      <c r="AB733" s="88"/>
      <c r="AC733" s="88"/>
      <c r="AD733" s="88"/>
      <c r="AE733" s="88"/>
    </row>
    <row r="734" spans="12:31" ht="15.75" customHeight="1" x14ac:dyDescent="0.3">
      <c r="L734" s="88"/>
      <c r="M734" s="88"/>
      <c r="N734" s="88"/>
      <c r="O734" s="88"/>
      <c r="P734" s="88"/>
      <c r="Q734" s="88"/>
      <c r="R734" s="88"/>
      <c r="S734" s="88"/>
      <c r="T734" s="88"/>
      <c r="U734" s="88"/>
      <c r="V734" s="88"/>
      <c r="W734" s="88"/>
      <c r="X734" s="88"/>
      <c r="Y734" s="88"/>
      <c r="Z734" s="88"/>
      <c r="AA734" s="88"/>
      <c r="AB734" s="88"/>
      <c r="AC734" s="88"/>
      <c r="AD734" s="88"/>
      <c r="AE734" s="88"/>
    </row>
    <row r="735" spans="12:31" ht="15.75" customHeight="1" x14ac:dyDescent="0.3">
      <c r="L735" s="88"/>
      <c r="M735" s="88"/>
      <c r="N735" s="88"/>
      <c r="O735" s="88"/>
      <c r="P735" s="88"/>
      <c r="Q735" s="88"/>
      <c r="R735" s="88"/>
      <c r="S735" s="88"/>
      <c r="T735" s="88"/>
      <c r="U735" s="88"/>
      <c r="V735" s="88"/>
      <c r="W735" s="88"/>
      <c r="X735" s="88"/>
      <c r="Y735" s="88"/>
      <c r="Z735" s="88"/>
      <c r="AA735" s="88"/>
      <c r="AB735" s="88"/>
      <c r="AC735" s="88"/>
      <c r="AD735" s="88"/>
      <c r="AE735" s="88"/>
    </row>
    <row r="736" spans="12:31" ht="15.75" customHeight="1" x14ac:dyDescent="0.3">
      <c r="L736" s="88"/>
      <c r="M736" s="88"/>
      <c r="N736" s="88"/>
      <c r="O736" s="88"/>
      <c r="P736" s="88"/>
      <c r="Q736" s="88"/>
      <c r="R736" s="88"/>
      <c r="S736" s="88"/>
      <c r="T736" s="88"/>
      <c r="U736" s="88"/>
      <c r="V736" s="88"/>
      <c r="W736" s="88"/>
      <c r="X736" s="88"/>
      <c r="Y736" s="88"/>
      <c r="Z736" s="88"/>
      <c r="AA736" s="88"/>
      <c r="AB736" s="88"/>
      <c r="AC736" s="88"/>
      <c r="AD736" s="88"/>
      <c r="AE736" s="88"/>
    </row>
    <row r="737" spans="12:31" ht="15.75" customHeight="1" x14ac:dyDescent="0.3">
      <c r="L737" s="88"/>
      <c r="M737" s="88"/>
      <c r="N737" s="88"/>
      <c r="O737" s="88"/>
      <c r="P737" s="88"/>
      <c r="Q737" s="88"/>
      <c r="R737" s="88"/>
      <c r="S737" s="88"/>
      <c r="T737" s="88"/>
      <c r="U737" s="88"/>
      <c r="V737" s="88"/>
      <c r="W737" s="88"/>
      <c r="X737" s="88"/>
      <c r="Y737" s="88"/>
      <c r="Z737" s="88"/>
      <c r="AA737" s="88"/>
      <c r="AB737" s="88"/>
      <c r="AC737" s="88"/>
      <c r="AD737" s="88"/>
      <c r="AE737" s="88"/>
    </row>
    <row r="738" spans="12:31" ht="15.75" customHeight="1" x14ac:dyDescent="0.3">
      <c r="L738" s="88"/>
      <c r="M738" s="88"/>
      <c r="N738" s="88"/>
      <c r="O738" s="88"/>
      <c r="P738" s="88"/>
      <c r="Q738" s="88"/>
      <c r="R738" s="88"/>
      <c r="S738" s="88"/>
      <c r="T738" s="88"/>
      <c r="U738" s="88"/>
      <c r="V738" s="88"/>
      <c r="W738" s="88"/>
      <c r="X738" s="88"/>
      <c r="Y738" s="88"/>
      <c r="Z738" s="88"/>
      <c r="AA738" s="88"/>
      <c r="AB738" s="88"/>
      <c r="AC738" s="88"/>
      <c r="AD738" s="88"/>
      <c r="AE738" s="88"/>
    </row>
    <row r="739" spans="12:31" ht="15.75" customHeight="1" x14ac:dyDescent="0.3">
      <c r="L739" s="88"/>
      <c r="M739" s="88"/>
      <c r="N739" s="88"/>
      <c r="O739" s="88"/>
      <c r="P739" s="88"/>
      <c r="Q739" s="88"/>
      <c r="R739" s="88"/>
      <c r="S739" s="88"/>
      <c r="T739" s="88"/>
      <c r="U739" s="88"/>
      <c r="V739" s="88"/>
      <c r="W739" s="88"/>
      <c r="X739" s="88"/>
      <c r="Y739" s="88"/>
      <c r="Z739" s="88"/>
      <c r="AA739" s="88"/>
      <c r="AB739" s="88"/>
      <c r="AC739" s="88"/>
      <c r="AD739" s="88"/>
      <c r="AE739" s="88"/>
    </row>
    <row r="740" spans="12:31" ht="15.75" customHeight="1" x14ac:dyDescent="0.3">
      <c r="L740" s="88"/>
      <c r="M740" s="88"/>
      <c r="N740" s="88"/>
      <c r="O740" s="88"/>
      <c r="P740" s="88"/>
      <c r="Q740" s="88"/>
      <c r="R740" s="88"/>
      <c r="S740" s="88"/>
      <c r="T740" s="88"/>
      <c r="U740" s="88"/>
      <c r="V740" s="88"/>
      <c r="W740" s="88"/>
      <c r="X740" s="88"/>
      <c r="Y740" s="88"/>
      <c r="Z740" s="88"/>
      <c r="AA740" s="88"/>
      <c r="AB740" s="88"/>
      <c r="AC740" s="88"/>
      <c r="AD740" s="88"/>
      <c r="AE740" s="88"/>
    </row>
    <row r="741" spans="12:31" ht="15.75" customHeight="1" x14ac:dyDescent="0.3">
      <c r="L741" s="88"/>
      <c r="M741" s="88"/>
      <c r="N741" s="88"/>
      <c r="O741" s="88"/>
      <c r="P741" s="88"/>
      <c r="Q741" s="88"/>
      <c r="R741" s="88"/>
      <c r="S741" s="88"/>
      <c r="T741" s="88"/>
      <c r="U741" s="88"/>
      <c r="V741" s="88"/>
      <c r="W741" s="88"/>
      <c r="X741" s="88"/>
      <c r="Y741" s="88"/>
      <c r="Z741" s="88"/>
      <c r="AA741" s="88"/>
      <c r="AB741" s="88"/>
      <c r="AC741" s="88"/>
      <c r="AD741" s="88"/>
      <c r="AE741" s="88"/>
    </row>
    <row r="742" spans="12:31" ht="15.75" customHeight="1" x14ac:dyDescent="0.3">
      <c r="L742" s="88"/>
      <c r="M742" s="88"/>
      <c r="N742" s="88"/>
      <c r="O742" s="88"/>
      <c r="P742" s="88"/>
      <c r="Q742" s="88"/>
      <c r="R742" s="88"/>
      <c r="S742" s="88"/>
      <c r="T742" s="88"/>
      <c r="U742" s="88"/>
      <c r="V742" s="88"/>
      <c r="W742" s="88"/>
      <c r="X742" s="88"/>
      <c r="Y742" s="88"/>
      <c r="Z742" s="88"/>
      <c r="AA742" s="88"/>
      <c r="AB742" s="88"/>
      <c r="AC742" s="88"/>
      <c r="AD742" s="88"/>
      <c r="AE742" s="88"/>
    </row>
    <row r="743" spans="12:31" ht="15.75" customHeight="1" x14ac:dyDescent="0.3">
      <c r="L743" s="88"/>
      <c r="M743" s="88"/>
      <c r="N743" s="88"/>
      <c r="O743" s="88"/>
      <c r="P743" s="88"/>
      <c r="Q743" s="88"/>
      <c r="R743" s="88"/>
      <c r="S743" s="88"/>
      <c r="T743" s="88"/>
      <c r="U743" s="88"/>
      <c r="V743" s="88"/>
      <c r="W743" s="88"/>
      <c r="X743" s="88"/>
      <c r="Y743" s="88"/>
      <c r="Z743" s="88"/>
      <c r="AA743" s="88"/>
      <c r="AB743" s="88"/>
      <c r="AC743" s="88"/>
      <c r="AD743" s="88"/>
      <c r="AE743" s="88"/>
    </row>
    <row r="744" spans="12:31" ht="15.75" customHeight="1" x14ac:dyDescent="0.3">
      <c r="L744" s="88"/>
      <c r="M744" s="88"/>
      <c r="N744" s="88"/>
      <c r="O744" s="88"/>
      <c r="P744" s="88"/>
      <c r="Q744" s="88"/>
      <c r="R744" s="88"/>
      <c r="S744" s="88"/>
      <c r="T744" s="88"/>
      <c r="U744" s="88"/>
      <c r="V744" s="88"/>
      <c r="W744" s="88"/>
      <c r="X744" s="88"/>
      <c r="Y744" s="88"/>
      <c r="Z744" s="88"/>
      <c r="AA744" s="88"/>
      <c r="AB744" s="88"/>
      <c r="AC744" s="88"/>
      <c r="AD744" s="88"/>
      <c r="AE744" s="88"/>
    </row>
    <row r="745" spans="12:31" ht="15.75" customHeight="1" x14ac:dyDescent="0.3">
      <c r="L745" s="88"/>
      <c r="M745" s="88"/>
      <c r="N745" s="88"/>
      <c r="O745" s="88"/>
      <c r="P745" s="88"/>
      <c r="Q745" s="88"/>
      <c r="R745" s="88"/>
      <c r="S745" s="88"/>
      <c r="T745" s="88"/>
      <c r="U745" s="88"/>
      <c r="V745" s="88"/>
      <c r="W745" s="88"/>
      <c r="X745" s="88"/>
      <c r="Y745" s="88"/>
      <c r="Z745" s="88"/>
      <c r="AA745" s="88"/>
      <c r="AB745" s="88"/>
      <c r="AC745" s="88"/>
      <c r="AD745" s="88"/>
      <c r="AE745" s="88"/>
    </row>
    <row r="746" spans="12:31" ht="15.75" customHeight="1" x14ac:dyDescent="0.3">
      <c r="L746" s="88"/>
      <c r="M746" s="88"/>
      <c r="N746" s="88"/>
      <c r="O746" s="88"/>
      <c r="P746" s="88"/>
      <c r="Q746" s="88"/>
      <c r="R746" s="88"/>
      <c r="S746" s="88"/>
      <c r="T746" s="88"/>
      <c r="U746" s="88"/>
      <c r="V746" s="88"/>
      <c r="W746" s="88"/>
      <c r="X746" s="88"/>
      <c r="Y746" s="88"/>
      <c r="Z746" s="88"/>
      <c r="AA746" s="88"/>
      <c r="AB746" s="88"/>
      <c r="AC746" s="88"/>
      <c r="AD746" s="88"/>
      <c r="AE746" s="88"/>
    </row>
    <row r="747" spans="12:31" ht="15.75" customHeight="1" x14ac:dyDescent="0.3">
      <c r="L747" s="88"/>
      <c r="M747" s="88"/>
      <c r="N747" s="88"/>
      <c r="O747" s="88"/>
      <c r="P747" s="88"/>
      <c r="Q747" s="88"/>
      <c r="R747" s="88"/>
      <c r="S747" s="88"/>
      <c r="T747" s="88"/>
      <c r="U747" s="88"/>
      <c r="V747" s="88"/>
      <c r="W747" s="88"/>
      <c r="X747" s="88"/>
      <c r="Y747" s="88"/>
      <c r="Z747" s="88"/>
      <c r="AA747" s="88"/>
      <c r="AB747" s="88"/>
      <c r="AC747" s="88"/>
      <c r="AD747" s="88"/>
      <c r="AE747" s="88"/>
    </row>
    <row r="748" spans="12:31" ht="15.75" customHeight="1" x14ac:dyDescent="0.3">
      <c r="L748" s="88"/>
      <c r="M748" s="88"/>
      <c r="N748" s="88"/>
      <c r="O748" s="88"/>
      <c r="P748" s="88"/>
      <c r="Q748" s="88"/>
      <c r="R748" s="88"/>
      <c r="S748" s="88"/>
      <c r="T748" s="88"/>
      <c r="U748" s="88"/>
      <c r="V748" s="88"/>
      <c r="W748" s="88"/>
      <c r="X748" s="88"/>
      <c r="Y748" s="88"/>
      <c r="Z748" s="88"/>
      <c r="AA748" s="88"/>
      <c r="AB748" s="88"/>
      <c r="AC748" s="88"/>
      <c r="AD748" s="88"/>
      <c r="AE748" s="88"/>
    </row>
    <row r="749" spans="12:31" ht="15.75" customHeight="1" x14ac:dyDescent="0.3">
      <c r="L749" s="88"/>
      <c r="M749" s="88"/>
      <c r="N749" s="88"/>
      <c r="O749" s="88"/>
      <c r="P749" s="88"/>
      <c r="Q749" s="88"/>
      <c r="R749" s="88"/>
      <c r="S749" s="88"/>
      <c r="T749" s="88"/>
      <c r="U749" s="88"/>
      <c r="V749" s="88"/>
      <c r="W749" s="88"/>
      <c r="X749" s="88"/>
      <c r="Y749" s="88"/>
      <c r="Z749" s="88"/>
      <c r="AA749" s="88"/>
      <c r="AB749" s="88"/>
      <c r="AC749" s="88"/>
      <c r="AD749" s="88"/>
      <c r="AE749" s="88"/>
    </row>
    <row r="750" spans="12:31" ht="15.75" customHeight="1" x14ac:dyDescent="0.3">
      <c r="L750" s="88"/>
      <c r="M750" s="88"/>
      <c r="N750" s="88"/>
      <c r="O750" s="88"/>
      <c r="P750" s="88"/>
      <c r="Q750" s="88"/>
      <c r="R750" s="88"/>
      <c r="S750" s="88"/>
      <c r="T750" s="88"/>
      <c r="U750" s="88"/>
      <c r="V750" s="88"/>
      <c r="W750" s="88"/>
      <c r="X750" s="88"/>
      <c r="Y750" s="88"/>
      <c r="Z750" s="88"/>
      <c r="AA750" s="88"/>
      <c r="AB750" s="88"/>
      <c r="AC750" s="88"/>
      <c r="AD750" s="88"/>
      <c r="AE750" s="88"/>
    </row>
    <row r="751" spans="12:31" ht="15.75" customHeight="1" x14ac:dyDescent="0.3">
      <c r="L751" s="88"/>
      <c r="M751" s="88"/>
      <c r="N751" s="88"/>
      <c r="O751" s="88"/>
      <c r="P751" s="88"/>
      <c r="Q751" s="88"/>
      <c r="R751" s="88"/>
      <c r="S751" s="88"/>
      <c r="T751" s="88"/>
      <c r="U751" s="88"/>
      <c r="V751" s="88"/>
      <c r="W751" s="88"/>
      <c r="X751" s="88"/>
      <c r="Y751" s="88"/>
      <c r="Z751" s="88"/>
      <c r="AA751" s="88"/>
      <c r="AB751" s="88"/>
      <c r="AC751" s="88"/>
      <c r="AD751" s="88"/>
      <c r="AE751" s="88"/>
    </row>
    <row r="752" spans="12:31" ht="15.75" customHeight="1" x14ac:dyDescent="0.3">
      <c r="L752" s="88"/>
      <c r="M752" s="88"/>
      <c r="N752" s="88"/>
      <c r="O752" s="88"/>
      <c r="P752" s="88"/>
      <c r="Q752" s="88"/>
      <c r="R752" s="88"/>
      <c r="S752" s="88"/>
      <c r="T752" s="88"/>
      <c r="U752" s="88"/>
      <c r="V752" s="88"/>
      <c r="W752" s="88"/>
      <c r="X752" s="88"/>
      <c r="Y752" s="88"/>
      <c r="Z752" s="88"/>
      <c r="AA752" s="88"/>
      <c r="AB752" s="88"/>
      <c r="AC752" s="88"/>
      <c r="AD752" s="88"/>
      <c r="AE752" s="88"/>
    </row>
    <row r="753" spans="12:31" ht="15.75" customHeight="1" x14ac:dyDescent="0.3">
      <c r="L753" s="88"/>
      <c r="M753" s="88"/>
      <c r="N753" s="88"/>
      <c r="O753" s="88"/>
      <c r="P753" s="88"/>
      <c r="Q753" s="88"/>
      <c r="R753" s="88"/>
      <c r="S753" s="88"/>
      <c r="T753" s="88"/>
      <c r="U753" s="88"/>
      <c r="V753" s="88"/>
      <c r="W753" s="88"/>
      <c r="X753" s="88"/>
      <c r="Y753" s="88"/>
      <c r="Z753" s="88"/>
      <c r="AA753" s="88"/>
      <c r="AB753" s="88"/>
      <c r="AC753" s="88"/>
      <c r="AD753" s="88"/>
      <c r="AE753" s="88"/>
    </row>
    <row r="754" spans="12:31" ht="15.75" customHeight="1" x14ac:dyDescent="0.3">
      <c r="L754" s="88"/>
      <c r="M754" s="88"/>
      <c r="N754" s="88"/>
      <c r="O754" s="88"/>
      <c r="P754" s="88"/>
      <c r="Q754" s="88"/>
      <c r="R754" s="88"/>
      <c r="S754" s="88"/>
      <c r="T754" s="88"/>
      <c r="U754" s="88"/>
      <c r="V754" s="88"/>
      <c r="W754" s="88"/>
      <c r="X754" s="88"/>
      <c r="Y754" s="88"/>
      <c r="Z754" s="88"/>
      <c r="AA754" s="88"/>
      <c r="AB754" s="88"/>
      <c r="AC754" s="88"/>
      <c r="AD754" s="88"/>
      <c r="AE754" s="88"/>
    </row>
    <row r="755" spans="12:31" ht="15.75" customHeight="1" x14ac:dyDescent="0.3">
      <c r="L755" s="88"/>
      <c r="M755" s="88"/>
      <c r="N755" s="88"/>
      <c r="O755" s="88"/>
      <c r="P755" s="88"/>
      <c r="Q755" s="88"/>
      <c r="R755" s="88"/>
      <c r="S755" s="88"/>
      <c r="T755" s="88"/>
      <c r="U755" s="88"/>
      <c r="V755" s="88"/>
      <c r="W755" s="88"/>
      <c r="X755" s="88"/>
      <c r="Y755" s="88"/>
      <c r="Z755" s="88"/>
      <c r="AA755" s="88"/>
      <c r="AB755" s="88"/>
      <c r="AC755" s="88"/>
      <c r="AD755" s="88"/>
      <c r="AE755" s="88"/>
    </row>
    <row r="756" spans="12:31" ht="15.75" customHeight="1" x14ac:dyDescent="0.3">
      <c r="L756" s="88"/>
      <c r="M756" s="88"/>
      <c r="N756" s="88"/>
      <c r="O756" s="88"/>
      <c r="P756" s="88"/>
      <c r="Q756" s="88"/>
      <c r="R756" s="88"/>
      <c r="S756" s="88"/>
      <c r="T756" s="88"/>
      <c r="U756" s="88"/>
      <c r="V756" s="88"/>
      <c r="W756" s="88"/>
      <c r="X756" s="88"/>
      <c r="Y756" s="88"/>
      <c r="Z756" s="88"/>
      <c r="AA756" s="88"/>
      <c r="AB756" s="88"/>
      <c r="AC756" s="88"/>
      <c r="AD756" s="88"/>
      <c r="AE756" s="88"/>
    </row>
    <row r="757" spans="12:31" ht="15.75" customHeight="1" x14ac:dyDescent="0.3">
      <c r="L757" s="88"/>
      <c r="M757" s="88"/>
      <c r="N757" s="88"/>
      <c r="O757" s="88"/>
      <c r="P757" s="88"/>
      <c r="Q757" s="88"/>
      <c r="R757" s="88"/>
      <c r="S757" s="88"/>
      <c r="T757" s="88"/>
      <c r="U757" s="88"/>
      <c r="V757" s="88"/>
      <c r="W757" s="88"/>
      <c r="X757" s="88"/>
      <c r="Y757" s="88"/>
      <c r="Z757" s="88"/>
      <c r="AA757" s="88"/>
      <c r="AB757" s="88"/>
      <c r="AC757" s="88"/>
      <c r="AD757" s="88"/>
      <c r="AE757" s="88"/>
    </row>
    <row r="758" spans="12:31" ht="15.75" customHeight="1" x14ac:dyDescent="0.3">
      <c r="L758" s="88"/>
      <c r="M758" s="88"/>
      <c r="N758" s="88"/>
      <c r="O758" s="88"/>
      <c r="P758" s="88"/>
      <c r="Q758" s="88"/>
      <c r="R758" s="88"/>
      <c r="S758" s="88"/>
      <c r="T758" s="88"/>
      <c r="U758" s="88"/>
      <c r="V758" s="88"/>
      <c r="W758" s="88"/>
      <c r="X758" s="88"/>
      <c r="Y758" s="88"/>
      <c r="Z758" s="88"/>
      <c r="AA758" s="88"/>
      <c r="AB758" s="88"/>
      <c r="AC758" s="88"/>
      <c r="AD758" s="88"/>
      <c r="AE758" s="88"/>
    </row>
    <row r="759" spans="12:31" ht="15.75" customHeight="1" x14ac:dyDescent="0.3">
      <c r="L759" s="88"/>
      <c r="M759" s="88"/>
      <c r="N759" s="88"/>
      <c r="O759" s="88"/>
      <c r="P759" s="88"/>
      <c r="Q759" s="88"/>
      <c r="R759" s="88"/>
      <c r="S759" s="88"/>
      <c r="T759" s="88"/>
      <c r="U759" s="88"/>
      <c r="V759" s="88"/>
      <c r="W759" s="88"/>
      <c r="X759" s="88"/>
      <c r="Y759" s="88"/>
      <c r="Z759" s="88"/>
      <c r="AA759" s="88"/>
      <c r="AB759" s="88"/>
      <c r="AC759" s="88"/>
      <c r="AD759" s="88"/>
      <c r="AE759" s="88"/>
    </row>
    <row r="760" spans="12:31" ht="15.75" customHeight="1" x14ac:dyDescent="0.3">
      <c r="L760" s="88"/>
      <c r="M760" s="88"/>
      <c r="N760" s="88"/>
      <c r="O760" s="88"/>
      <c r="P760" s="88"/>
      <c r="Q760" s="88"/>
      <c r="R760" s="88"/>
      <c r="S760" s="88"/>
      <c r="T760" s="88"/>
      <c r="U760" s="88"/>
      <c r="V760" s="88"/>
      <c r="W760" s="88"/>
      <c r="X760" s="88"/>
      <c r="Y760" s="88"/>
      <c r="Z760" s="88"/>
      <c r="AA760" s="88"/>
      <c r="AB760" s="88"/>
      <c r="AC760" s="88"/>
      <c r="AD760" s="88"/>
      <c r="AE760" s="88"/>
    </row>
    <row r="761" spans="12:31" ht="15.75" customHeight="1" x14ac:dyDescent="0.3">
      <c r="L761" s="88"/>
      <c r="M761" s="88"/>
      <c r="N761" s="88"/>
      <c r="O761" s="88"/>
      <c r="P761" s="88"/>
      <c r="Q761" s="88"/>
      <c r="R761" s="88"/>
      <c r="S761" s="88"/>
      <c r="T761" s="88"/>
      <c r="U761" s="88"/>
      <c r="V761" s="88"/>
      <c r="W761" s="88"/>
      <c r="X761" s="88"/>
      <c r="Y761" s="88"/>
      <c r="Z761" s="88"/>
      <c r="AA761" s="88"/>
      <c r="AB761" s="88"/>
      <c r="AC761" s="88"/>
      <c r="AD761" s="88"/>
      <c r="AE761" s="88"/>
    </row>
    <row r="762" spans="12:31" ht="15.75" customHeight="1" x14ac:dyDescent="0.3">
      <c r="L762" s="88"/>
      <c r="M762" s="88"/>
      <c r="N762" s="88"/>
      <c r="O762" s="88"/>
      <c r="P762" s="88"/>
      <c r="Q762" s="88"/>
      <c r="R762" s="88"/>
      <c r="S762" s="88"/>
      <c r="T762" s="88"/>
      <c r="U762" s="88"/>
      <c r="V762" s="88"/>
      <c r="W762" s="88"/>
      <c r="X762" s="88"/>
      <c r="Y762" s="88"/>
      <c r="Z762" s="88"/>
      <c r="AA762" s="88"/>
      <c r="AB762" s="88"/>
      <c r="AC762" s="88"/>
      <c r="AD762" s="88"/>
      <c r="AE762" s="88"/>
    </row>
    <row r="763" spans="12:31" ht="15.75" customHeight="1" x14ac:dyDescent="0.3">
      <c r="L763" s="88"/>
      <c r="M763" s="88"/>
      <c r="N763" s="88"/>
      <c r="O763" s="88"/>
      <c r="P763" s="88"/>
      <c r="Q763" s="88"/>
      <c r="R763" s="88"/>
      <c r="S763" s="88"/>
      <c r="T763" s="88"/>
      <c r="U763" s="88"/>
      <c r="V763" s="88"/>
      <c r="W763" s="88"/>
      <c r="X763" s="88"/>
      <c r="Y763" s="88"/>
      <c r="Z763" s="88"/>
      <c r="AA763" s="88"/>
      <c r="AB763" s="88"/>
      <c r="AC763" s="88"/>
      <c r="AD763" s="88"/>
      <c r="AE763" s="88"/>
    </row>
    <row r="764" spans="12:31" ht="15.75" customHeight="1" x14ac:dyDescent="0.3">
      <c r="L764" s="88"/>
      <c r="M764" s="88"/>
      <c r="N764" s="88"/>
      <c r="O764" s="88"/>
      <c r="P764" s="88"/>
      <c r="Q764" s="88"/>
      <c r="R764" s="88"/>
      <c r="S764" s="88"/>
      <c r="T764" s="88"/>
      <c r="U764" s="88"/>
      <c r="V764" s="88"/>
      <c r="W764" s="88"/>
      <c r="X764" s="88"/>
      <c r="Y764" s="88"/>
      <c r="Z764" s="88"/>
      <c r="AA764" s="88"/>
      <c r="AB764" s="88"/>
      <c r="AC764" s="88"/>
      <c r="AD764" s="88"/>
      <c r="AE764" s="88"/>
    </row>
    <row r="765" spans="12:31" ht="15.75" customHeight="1" x14ac:dyDescent="0.3">
      <c r="L765" s="88"/>
      <c r="M765" s="88"/>
      <c r="N765" s="88"/>
      <c r="O765" s="88"/>
      <c r="P765" s="88"/>
      <c r="Q765" s="88"/>
      <c r="R765" s="88"/>
      <c r="S765" s="88"/>
      <c r="T765" s="88"/>
      <c r="U765" s="88"/>
      <c r="V765" s="88"/>
      <c r="W765" s="88"/>
      <c r="X765" s="88"/>
      <c r="Y765" s="88"/>
      <c r="Z765" s="88"/>
      <c r="AA765" s="88"/>
      <c r="AB765" s="88"/>
      <c r="AC765" s="88"/>
      <c r="AD765" s="88"/>
      <c r="AE765" s="88"/>
    </row>
    <row r="766" spans="12:31" ht="15.75" customHeight="1" x14ac:dyDescent="0.3">
      <c r="L766" s="88"/>
      <c r="M766" s="88"/>
      <c r="N766" s="88"/>
      <c r="O766" s="88"/>
      <c r="P766" s="88"/>
      <c r="Q766" s="88"/>
      <c r="R766" s="88"/>
      <c r="S766" s="88"/>
      <c r="T766" s="88"/>
      <c r="U766" s="88"/>
      <c r="V766" s="88"/>
      <c r="W766" s="88"/>
      <c r="X766" s="88"/>
      <c r="Y766" s="88"/>
      <c r="Z766" s="88"/>
      <c r="AA766" s="88"/>
      <c r="AB766" s="88"/>
      <c r="AC766" s="88"/>
      <c r="AD766" s="88"/>
      <c r="AE766" s="88"/>
    </row>
    <row r="767" spans="12:31" ht="15.75" customHeight="1" x14ac:dyDescent="0.3">
      <c r="L767" s="88"/>
      <c r="M767" s="88"/>
      <c r="N767" s="88"/>
      <c r="O767" s="88"/>
      <c r="P767" s="88"/>
      <c r="Q767" s="88"/>
      <c r="R767" s="88"/>
      <c r="S767" s="88"/>
      <c r="T767" s="88"/>
      <c r="U767" s="88"/>
      <c r="V767" s="88"/>
      <c r="W767" s="88"/>
      <c r="X767" s="88"/>
      <c r="Y767" s="88"/>
      <c r="Z767" s="88"/>
      <c r="AA767" s="88"/>
      <c r="AB767" s="88"/>
      <c r="AC767" s="88"/>
      <c r="AD767" s="88"/>
      <c r="AE767" s="88"/>
    </row>
    <row r="768" spans="12:31" ht="15.75" customHeight="1" x14ac:dyDescent="0.3">
      <c r="L768" s="88"/>
      <c r="M768" s="88"/>
      <c r="N768" s="88"/>
      <c r="O768" s="88"/>
      <c r="P768" s="88"/>
      <c r="Q768" s="88"/>
      <c r="R768" s="88"/>
      <c r="S768" s="88"/>
      <c r="T768" s="88"/>
      <c r="U768" s="88"/>
      <c r="V768" s="88"/>
      <c r="W768" s="88"/>
      <c r="X768" s="88"/>
      <c r="Y768" s="88"/>
      <c r="Z768" s="88"/>
      <c r="AA768" s="88"/>
      <c r="AB768" s="88"/>
      <c r="AC768" s="88"/>
      <c r="AD768" s="88"/>
      <c r="AE768" s="88"/>
    </row>
    <row r="769" spans="12:31" ht="15.75" customHeight="1" x14ac:dyDescent="0.3">
      <c r="L769" s="88"/>
      <c r="M769" s="88"/>
      <c r="N769" s="88"/>
      <c r="O769" s="88"/>
      <c r="P769" s="88"/>
      <c r="Q769" s="88"/>
      <c r="R769" s="88"/>
      <c r="S769" s="88"/>
      <c r="T769" s="88"/>
      <c r="U769" s="88"/>
      <c r="V769" s="88"/>
      <c r="W769" s="88"/>
      <c r="X769" s="88"/>
      <c r="Y769" s="88"/>
      <c r="Z769" s="88"/>
      <c r="AA769" s="88"/>
      <c r="AB769" s="88"/>
      <c r="AC769" s="88"/>
      <c r="AD769" s="88"/>
      <c r="AE769" s="88"/>
    </row>
    <row r="770" spans="12:31" ht="15.75" customHeight="1" x14ac:dyDescent="0.3">
      <c r="L770" s="88"/>
      <c r="M770" s="88"/>
      <c r="N770" s="88"/>
      <c r="O770" s="88"/>
      <c r="P770" s="88"/>
      <c r="Q770" s="88"/>
      <c r="R770" s="88"/>
      <c r="S770" s="88"/>
      <c r="T770" s="88"/>
      <c r="U770" s="88"/>
      <c r="V770" s="88"/>
      <c r="W770" s="88"/>
      <c r="X770" s="88"/>
      <c r="Y770" s="88"/>
      <c r="Z770" s="88"/>
      <c r="AA770" s="88"/>
      <c r="AB770" s="88"/>
      <c r="AC770" s="88"/>
      <c r="AD770" s="88"/>
      <c r="AE770" s="88"/>
    </row>
    <row r="771" spans="12:31" ht="15.75" customHeight="1" x14ac:dyDescent="0.3">
      <c r="L771" s="88"/>
      <c r="M771" s="88"/>
      <c r="N771" s="88"/>
      <c r="O771" s="88"/>
      <c r="P771" s="88"/>
      <c r="Q771" s="88"/>
      <c r="R771" s="88"/>
      <c r="S771" s="88"/>
      <c r="T771" s="88"/>
      <c r="U771" s="88"/>
      <c r="V771" s="88"/>
      <c r="W771" s="88"/>
      <c r="X771" s="88"/>
      <c r="Y771" s="88"/>
      <c r="Z771" s="88"/>
      <c r="AA771" s="88"/>
      <c r="AB771" s="88"/>
      <c r="AC771" s="88"/>
      <c r="AD771" s="88"/>
      <c r="AE771" s="88"/>
    </row>
    <row r="772" spans="12:31" ht="15.75" customHeight="1" x14ac:dyDescent="0.3">
      <c r="L772" s="88"/>
      <c r="M772" s="88"/>
      <c r="N772" s="88"/>
      <c r="O772" s="88"/>
      <c r="P772" s="88"/>
      <c r="Q772" s="88"/>
      <c r="R772" s="88"/>
      <c r="S772" s="88"/>
      <c r="T772" s="88"/>
      <c r="U772" s="88"/>
      <c r="V772" s="88"/>
      <c r="W772" s="88"/>
      <c r="X772" s="88"/>
      <c r="Y772" s="88"/>
      <c r="Z772" s="88"/>
      <c r="AA772" s="88"/>
      <c r="AB772" s="88"/>
      <c r="AC772" s="88"/>
      <c r="AD772" s="88"/>
      <c r="AE772" s="88"/>
    </row>
    <row r="773" spans="12:31" ht="15.75" customHeight="1" x14ac:dyDescent="0.3">
      <c r="L773" s="88"/>
      <c r="M773" s="88"/>
      <c r="N773" s="88"/>
      <c r="O773" s="88"/>
      <c r="P773" s="88"/>
      <c r="Q773" s="88"/>
      <c r="R773" s="88"/>
      <c r="S773" s="88"/>
      <c r="T773" s="88"/>
      <c r="U773" s="88"/>
      <c r="V773" s="88"/>
      <c r="W773" s="88"/>
      <c r="X773" s="88"/>
      <c r="Y773" s="88"/>
      <c r="Z773" s="88"/>
      <c r="AA773" s="88"/>
      <c r="AB773" s="88"/>
      <c r="AC773" s="88"/>
      <c r="AD773" s="88"/>
      <c r="AE773" s="88"/>
    </row>
    <row r="774" spans="12:31" ht="15.75" customHeight="1" x14ac:dyDescent="0.3">
      <c r="L774" s="88"/>
      <c r="M774" s="88"/>
      <c r="N774" s="88"/>
      <c r="O774" s="88"/>
      <c r="P774" s="88"/>
      <c r="Q774" s="88"/>
      <c r="R774" s="88"/>
      <c r="S774" s="88"/>
      <c r="T774" s="88"/>
      <c r="U774" s="88"/>
      <c r="V774" s="88"/>
      <c r="W774" s="88"/>
      <c r="X774" s="88"/>
      <c r="Y774" s="88"/>
      <c r="Z774" s="88"/>
      <c r="AA774" s="88"/>
      <c r="AB774" s="88"/>
      <c r="AC774" s="88"/>
      <c r="AD774" s="88"/>
      <c r="AE774" s="88"/>
    </row>
    <row r="775" spans="12:31" ht="15.75" customHeight="1" x14ac:dyDescent="0.3">
      <c r="L775" s="88"/>
      <c r="M775" s="88"/>
      <c r="N775" s="88"/>
      <c r="O775" s="88"/>
      <c r="P775" s="88"/>
      <c r="Q775" s="88"/>
      <c r="R775" s="88"/>
      <c r="S775" s="88"/>
      <c r="T775" s="88"/>
      <c r="U775" s="88"/>
      <c r="V775" s="88"/>
      <c r="W775" s="88"/>
      <c r="X775" s="88"/>
      <c r="Y775" s="88"/>
      <c r="Z775" s="88"/>
      <c r="AA775" s="88"/>
      <c r="AB775" s="88"/>
      <c r="AC775" s="88"/>
      <c r="AD775" s="88"/>
      <c r="AE775" s="88"/>
    </row>
    <row r="776" spans="12:31" ht="15.75" customHeight="1" x14ac:dyDescent="0.3">
      <c r="L776" s="88"/>
      <c r="M776" s="88"/>
      <c r="N776" s="88"/>
      <c r="O776" s="88"/>
      <c r="P776" s="88"/>
      <c r="Q776" s="88"/>
      <c r="R776" s="88"/>
      <c r="S776" s="88"/>
      <c r="T776" s="88"/>
      <c r="U776" s="88"/>
      <c r="V776" s="88"/>
      <c r="W776" s="88"/>
      <c r="X776" s="88"/>
      <c r="Y776" s="88"/>
      <c r="Z776" s="88"/>
      <c r="AA776" s="88"/>
      <c r="AB776" s="88"/>
      <c r="AC776" s="88"/>
      <c r="AD776" s="88"/>
      <c r="AE776" s="88"/>
    </row>
    <row r="777" spans="12:31" ht="15.75" customHeight="1" x14ac:dyDescent="0.3">
      <c r="L777" s="88"/>
      <c r="M777" s="88"/>
      <c r="N777" s="88"/>
      <c r="O777" s="88"/>
      <c r="P777" s="88"/>
      <c r="Q777" s="88"/>
      <c r="R777" s="88"/>
      <c r="S777" s="88"/>
      <c r="T777" s="88"/>
      <c r="U777" s="88"/>
      <c r="V777" s="88"/>
      <c r="W777" s="88"/>
      <c r="X777" s="88"/>
      <c r="Y777" s="88"/>
      <c r="Z777" s="88"/>
      <c r="AA777" s="88"/>
      <c r="AB777" s="88"/>
      <c r="AC777" s="88"/>
      <c r="AD777" s="88"/>
      <c r="AE777" s="88"/>
    </row>
    <row r="778" spans="12:31" ht="15.75" customHeight="1" x14ac:dyDescent="0.3">
      <c r="L778" s="88"/>
      <c r="M778" s="88"/>
      <c r="N778" s="88"/>
      <c r="O778" s="88"/>
      <c r="P778" s="88"/>
      <c r="Q778" s="88"/>
      <c r="R778" s="88"/>
      <c r="S778" s="88"/>
      <c r="T778" s="88"/>
      <c r="U778" s="88"/>
      <c r="V778" s="88"/>
      <c r="W778" s="88"/>
      <c r="X778" s="88"/>
      <c r="Y778" s="88"/>
      <c r="Z778" s="88"/>
      <c r="AA778" s="88"/>
      <c r="AB778" s="88"/>
      <c r="AC778" s="88"/>
      <c r="AD778" s="88"/>
      <c r="AE778" s="88"/>
    </row>
    <row r="779" spans="12:31" ht="15.75" customHeight="1" x14ac:dyDescent="0.3">
      <c r="L779" s="88"/>
      <c r="M779" s="88"/>
      <c r="N779" s="88"/>
      <c r="O779" s="88"/>
      <c r="P779" s="88"/>
      <c r="Q779" s="88"/>
      <c r="R779" s="88"/>
      <c r="S779" s="88"/>
      <c r="T779" s="88"/>
      <c r="U779" s="88"/>
      <c r="V779" s="88"/>
      <c r="W779" s="88"/>
      <c r="X779" s="88"/>
      <c r="Y779" s="88"/>
      <c r="Z779" s="88"/>
      <c r="AA779" s="88"/>
      <c r="AB779" s="88"/>
      <c r="AC779" s="88"/>
      <c r="AD779" s="88"/>
      <c r="AE779" s="88"/>
    </row>
    <row r="780" spans="12:31" ht="15.75" customHeight="1" x14ac:dyDescent="0.3">
      <c r="L780" s="88"/>
      <c r="M780" s="88"/>
      <c r="N780" s="88"/>
      <c r="O780" s="88"/>
      <c r="P780" s="88"/>
      <c r="Q780" s="88"/>
      <c r="R780" s="88"/>
      <c r="S780" s="88"/>
      <c r="T780" s="88"/>
      <c r="U780" s="88"/>
      <c r="V780" s="88"/>
      <c r="W780" s="88"/>
      <c r="X780" s="88"/>
      <c r="Y780" s="88"/>
      <c r="Z780" s="88"/>
      <c r="AA780" s="88"/>
      <c r="AB780" s="88"/>
      <c r="AC780" s="88"/>
      <c r="AD780" s="88"/>
      <c r="AE780" s="88"/>
    </row>
    <row r="781" spans="12:31" ht="15.75" customHeight="1" x14ac:dyDescent="0.3">
      <c r="L781" s="88"/>
      <c r="M781" s="88"/>
      <c r="N781" s="88"/>
      <c r="O781" s="88"/>
      <c r="P781" s="88"/>
      <c r="Q781" s="88"/>
      <c r="R781" s="88"/>
      <c r="S781" s="88"/>
      <c r="T781" s="88"/>
      <c r="U781" s="88"/>
      <c r="V781" s="88"/>
      <c r="W781" s="88"/>
      <c r="X781" s="88"/>
      <c r="Y781" s="88"/>
      <c r="Z781" s="88"/>
      <c r="AA781" s="88"/>
      <c r="AB781" s="88"/>
      <c r="AC781" s="88"/>
      <c r="AD781" s="88"/>
      <c r="AE781" s="88"/>
    </row>
    <row r="782" spans="12:31" ht="15.75" customHeight="1" x14ac:dyDescent="0.3">
      <c r="L782" s="88"/>
      <c r="M782" s="88"/>
      <c r="N782" s="88"/>
      <c r="O782" s="88"/>
      <c r="P782" s="88"/>
      <c r="Q782" s="88"/>
      <c r="R782" s="88"/>
      <c r="S782" s="88"/>
      <c r="T782" s="88"/>
      <c r="U782" s="88"/>
      <c r="V782" s="88"/>
      <c r="W782" s="88"/>
      <c r="X782" s="88"/>
      <c r="Y782" s="88"/>
      <c r="Z782" s="88"/>
      <c r="AA782" s="88"/>
      <c r="AB782" s="88"/>
      <c r="AC782" s="88"/>
      <c r="AD782" s="88"/>
      <c r="AE782" s="88"/>
    </row>
    <row r="783" spans="12:31" ht="15.75" customHeight="1" x14ac:dyDescent="0.3">
      <c r="L783" s="88"/>
      <c r="M783" s="88"/>
      <c r="N783" s="88"/>
      <c r="O783" s="88"/>
      <c r="P783" s="88"/>
      <c r="Q783" s="88"/>
      <c r="R783" s="88"/>
      <c r="S783" s="88"/>
      <c r="T783" s="88"/>
      <c r="U783" s="88"/>
      <c r="V783" s="88"/>
      <c r="W783" s="88"/>
      <c r="X783" s="88"/>
      <c r="Y783" s="88"/>
      <c r="Z783" s="88"/>
      <c r="AA783" s="88"/>
      <c r="AB783" s="88"/>
      <c r="AC783" s="88"/>
      <c r="AD783" s="88"/>
      <c r="AE783" s="88"/>
    </row>
    <row r="784" spans="12:31" ht="15.75" customHeight="1" x14ac:dyDescent="0.3">
      <c r="L784" s="88"/>
      <c r="M784" s="88"/>
      <c r="N784" s="88"/>
      <c r="O784" s="88"/>
      <c r="P784" s="88"/>
      <c r="Q784" s="88"/>
      <c r="R784" s="88"/>
      <c r="S784" s="88"/>
      <c r="T784" s="88"/>
      <c r="U784" s="88"/>
      <c r="V784" s="88"/>
      <c r="W784" s="88"/>
      <c r="X784" s="88"/>
      <c r="Y784" s="88"/>
      <c r="Z784" s="88"/>
      <c r="AA784" s="88"/>
      <c r="AB784" s="88"/>
      <c r="AC784" s="88"/>
      <c r="AD784" s="88"/>
      <c r="AE784" s="88"/>
    </row>
    <row r="785" spans="12:31" ht="15.75" customHeight="1" x14ac:dyDescent="0.3">
      <c r="L785" s="88"/>
      <c r="M785" s="88"/>
      <c r="N785" s="88"/>
      <c r="O785" s="88"/>
      <c r="P785" s="88"/>
      <c r="Q785" s="88"/>
      <c r="R785" s="88"/>
      <c r="S785" s="88"/>
      <c r="T785" s="88"/>
      <c r="U785" s="88"/>
      <c r="V785" s="88"/>
      <c r="W785" s="88"/>
      <c r="X785" s="88"/>
      <c r="Y785" s="88"/>
      <c r="Z785" s="88"/>
      <c r="AA785" s="88"/>
      <c r="AB785" s="88"/>
      <c r="AC785" s="88"/>
      <c r="AD785" s="88"/>
      <c r="AE785" s="88"/>
    </row>
    <row r="786" spans="12:31" ht="15.75" customHeight="1" x14ac:dyDescent="0.3">
      <c r="L786" s="88"/>
      <c r="M786" s="88"/>
      <c r="N786" s="88"/>
      <c r="O786" s="88"/>
      <c r="P786" s="88"/>
      <c r="Q786" s="88"/>
      <c r="R786" s="88"/>
      <c r="S786" s="88"/>
      <c r="T786" s="88"/>
      <c r="U786" s="88"/>
      <c r="V786" s="88"/>
      <c r="W786" s="88"/>
      <c r="X786" s="88"/>
      <c r="Y786" s="88"/>
      <c r="Z786" s="88"/>
      <c r="AA786" s="88"/>
      <c r="AB786" s="88"/>
      <c r="AC786" s="88"/>
      <c r="AD786" s="88"/>
      <c r="AE786" s="88"/>
    </row>
    <row r="787" spans="12:31" ht="15.75" customHeight="1" x14ac:dyDescent="0.3">
      <c r="L787" s="88"/>
      <c r="M787" s="88"/>
      <c r="N787" s="88"/>
      <c r="O787" s="88"/>
      <c r="P787" s="88"/>
      <c r="Q787" s="88"/>
      <c r="R787" s="88"/>
      <c r="S787" s="88"/>
      <c r="T787" s="88"/>
      <c r="U787" s="88"/>
      <c r="V787" s="88"/>
      <c r="W787" s="88"/>
      <c r="X787" s="88"/>
      <c r="Y787" s="88"/>
      <c r="Z787" s="88"/>
      <c r="AA787" s="88"/>
      <c r="AB787" s="88"/>
      <c r="AC787" s="88"/>
      <c r="AD787" s="88"/>
      <c r="AE787" s="88"/>
    </row>
    <row r="788" spans="12:31" ht="15.75" customHeight="1" x14ac:dyDescent="0.3">
      <c r="L788" s="88"/>
      <c r="M788" s="88"/>
      <c r="N788" s="88"/>
      <c r="O788" s="88"/>
      <c r="P788" s="88"/>
      <c r="Q788" s="88"/>
      <c r="R788" s="88"/>
      <c r="S788" s="88"/>
      <c r="T788" s="88"/>
      <c r="U788" s="88"/>
      <c r="V788" s="88"/>
      <c r="W788" s="88"/>
      <c r="X788" s="88"/>
      <c r="Y788" s="88"/>
      <c r="Z788" s="88"/>
      <c r="AA788" s="88"/>
      <c r="AB788" s="88"/>
      <c r="AC788" s="88"/>
      <c r="AD788" s="88"/>
      <c r="AE788" s="88"/>
    </row>
    <row r="789" spans="12:31" ht="15.75" customHeight="1" x14ac:dyDescent="0.3">
      <c r="L789" s="88"/>
      <c r="M789" s="88"/>
      <c r="N789" s="88"/>
      <c r="O789" s="88"/>
      <c r="P789" s="88"/>
      <c r="Q789" s="88"/>
      <c r="R789" s="88"/>
      <c r="S789" s="88"/>
      <c r="T789" s="88"/>
      <c r="U789" s="88"/>
      <c r="V789" s="88"/>
      <c r="W789" s="88"/>
      <c r="X789" s="88"/>
      <c r="Y789" s="88"/>
      <c r="Z789" s="88"/>
      <c r="AA789" s="88"/>
      <c r="AB789" s="88"/>
      <c r="AC789" s="88"/>
      <c r="AD789" s="88"/>
      <c r="AE789" s="88"/>
    </row>
    <row r="790" spans="12:31" ht="15.75" customHeight="1" x14ac:dyDescent="0.3">
      <c r="L790" s="88"/>
      <c r="M790" s="88"/>
      <c r="N790" s="88"/>
      <c r="O790" s="88"/>
      <c r="P790" s="88"/>
      <c r="Q790" s="88"/>
      <c r="R790" s="88"/>
      <c r="S790" s="88"/>
      <c r="T790" s="88"/>
      <c r="U790" s="88"/>
      <c r="V790" s="88"/>
      <c r="W790" s="88"/>
      <c r="X790" s="88"/>
      <c r="Y790" s="88"/>
      <c r="Z790" s="88"/>
      <c r="AA790" s="88"/>
      <c r="AB790" s="88"/>
      <c r="AC790" s="88"/>
      <c r="AD790" s="88"/>
      <c r="AE790" s="88"/>
    </row>
    <row r="791" spans="12:31" ht="15.75" customHeight="1" x14ac:dyDescent="0.3">
      <c r="L791" s="88"/>
      <c r="M791" s="88"/>
      <c r="N791" s="88"/>
      <c r="O791" s="88"/>
      <c r="P791" s="88"/>
      <c r="Q791" s="88"/>
      <c r="R791" s="88"/>
      <c r="S791" s="88"/>
      <c r="T791" s="88"/>
      <c r="U791" s="88"/>
      <c r="V791" s="88"/>
      <c r="W791" s="88"/>
      <c r="X791" s="88"/>
      <c r="Y791" s="88"/>
      <c r="Z791" s="88"/>
      <c r="AA791" s="88"/>
      <c r="AB791" s="88"/>
      <c r="AC791" s="88"/>
      <c r="AD791" s="88"/>
      <c r="AE791" s="88"/>
    </row>
    <row r="792" spans="12:31" ht="15.75" customHeight="1" x14ac:dyDescent="0.3">
      <c r="L792" s="88"/>
      <c r="M792" s="88"/>
      <c r="N792" s="88"/>
      <c r="O792" s="88"/>
      <c r="P792" s="88"/>
      <c r="Q792" s="88"/>
      <c r="R792" s="88"/>
      <c r="S792" s="88"/>
      <c r="T792" s="88"/>
      <c r="U792" s="88"/>
      <c r="V792" s="88"/>
      <c r="W792" s="88"/>
      <c r="X792" s="88"/>
      <c r="Y792" s="88"/>
      <c r="Z792" s="88"/>
      <c r="AA792" s="88"/>
      <c r="AB792" s="88"/>
      <c r="AC792" s="88"/>
      <c r="AD792" s="88"/>
      <c r="AE792" s="88"/>
    </row>
    <row r="793" spans="12:31" ht="15.75" customHeight="1" x14ac:dyDescent="0.3">
      <c r="L793" s="88"/>
      <c r="M793" s="88"/>
      <c r="N793" s="88"/>
      <c r="O793" s="88"/>
      <c r="P793" s="88"/>
      <c r="Q793" s="88"/>
      <c r="R793" s="88"/>
      <c r="S793" s="88"/>
      <c r="T793" s="88"/>
      <c r="U793" s="88"/>
      <c r="V793" s="88"/>
      <c r="W793" s="88"/>
      <c r="X793" s="88"/>
      <c r="Y793" s="88"/>
      <c r="Z793" s="88"/>
      <c r="AA793" s="88"/>
      <c r="AB793" s="88"/>
      <c r="AC793" s="88"/>
      <c r="AD793" s="88"/>
      <c r="AE793" s="88"/>
    </row>
    <row r="794" spans="12:31" ht="15.75" customHeight="1" x14ac:dyDescent="0.3">
      <c r="L794" s="88"/>
      <c r="M794" s="88"/>
      <c r="N794" s="88"/>
      <c r="O794" s="88"/>
      <c r="P794" s="88"/>
      <c r="Q794" s="88"/>
      <c r="R794" s="88"/>
      <c r="S794" s="88"/>
      <c r="T794" s="88"/>
      <c r="U794" s="88"/>
      <c r="V794" s="88"/>
      <c r="W794" s="88"/>
      <c r="X794" s="88"/>
      <c r="Y794" s="88"/>
      <c r="Z794" s="88"/>
      <c r="AA794" s="88"/>
      <c r="AB794" s="88"/>
      <c r="AC794" s="88"/>
      <c r="AD794" s="88"/>
      <c r="AE794" s="88"/>
    </row>
    <row r="795" spans="12:31" ht="15.75" customHeight="1" x14ac:dyDescent="0.3">
      <c r="L795" s="88"/>
      <c r="M795" s="88"/>
      <c r="N795" s="88"/>
      <c r="O795" s="88"/>
      <c r="P795" s="88"/>
      <c r="Q795" s="88"/>
      <c r="R795" s="88"/>
      <c r="S795" s="88"/>
      <c r="T795" s="88"/>
      <c r="U795" s="88"/>
      <c r="V795" s="88"/>
      <c r="W795" s="88"/>
      <c r="X795" s="88"/>
      <c r="Y795" s="88"/>
      <c r="Z795" s="88"/>
      <c r="AA795" s="88"/>
      <c r="AB795" s="88"/>
      <c r="AC795" s="88"/>
      <c r="AD795" s="88"/>
      <c r="AE795" s="88"/>
    </row>
    <row r="796" spans="12:31" ht="15.75" customHeight="1" x14ac:dyDescent="0.3">
      <c r="L796" s="88"/>
      <c r="M796" s="88"/>
      <c r="N796" s="88"/>
      <c r="O796" s="88"/>
      <c r="P796" s="88"/>
      <c r="Q796" s="88"/>
      <c r="R796" s="88"/>
      <c r="S796" s="88"/>
      <c r="T796" s="88"/>
      <c r="U796" s="88"/>
      <c r="V796" s="88"/>
      <c r="W796" s="88"/>
      <c r="X796" s="88"/>
      <c r="Y796" s="88"/>
      <c r="Z796" s="88"/>
      <c r="AA796" s="88"/>
      <c r="AB796" s="88"/>
      <c r="AC796" s="88"/>
      <c r="AD796" s="88"/>
      <c r="AE796" s="88"/>
    </row>
    <row r="797" spans="12:31" ht="15.75" customHeight="1" x14ac:dyDescent="0.3">
      <c r="L797" s="88"/>
      <c r="M797" s="88"/>
      <c r="N797" s="88"/>
      <c r="O797" s="88"/>
      <c r="P797" s="88"/>
      <c r="Q797" s="88"/>
      <c r="R797" s="88"/>
      <c r="S797" s="88"/>
      <c r="T797" s="88"/>
      <c r="U797" s="88"/>
      <c r="V797" s="88"/>
      <c r="W797" s="88"/>
      <c r="X797" s="88"/>
      <c r="Y797" s="88"/>
      <c r="Z797" s="88"/>
      <c r="AA797" s="88"/>
      <c r="AB797" s="88"/>
      <c r="AC797" s="88"/>
      <c r="AD797" s="88"/>
      <c r="AE797" s="88"/>
    </row>
    <row r="798" spans="12:31" ht="15.75" customHeight="1" x14ac:dyDescent="0.3">
      <c r="L798" s="88"/>
      <c r="M798" s="88"/>
      <c r="N798" s="88"/>
      <c r="O798" s="88"/>
      <c r="P798" s="88"/>
      <c r="Q798" s="88"/>
      <c r="R798" s="88"/>
      <c r="S798" s="88"/>
      <c r="T798" s="88"/>
      <c r="U798" s="88"/>
      <c r="V798" s="88"/>
      <c r="W798" s="88"/>
      <c r="X798" s="88"/>
      <c r="Y798" s="88"/>
      <c r="Z798" s="88"/>
      <c r="AA798" s="88"/>
      <c r="AB798" s="88"/>
      <c r="AC798" s="88"/>
      <c r="AD798" s="88"/>
      <c r="AE798" s="88"/>
    </row>
    <row r="799" spans="12:31" ht="15.75" customHeight="1" x14ac:dyDescent="0.3">
      <c r="L799" s="88"/>
      <c r="M799" s="88"/>
      <c r="N799" s="88"/>
      <c r="O799" s="88"/>
      <c r="P799" s="88"/>
      <c r="Q799" s="88"/>
      <c r="R799" s="88"/>
      <c r="S799" s="88"/>
      <c r="T799" s="88"/>
      <c r="U799" s="88"/>
      <c r="V799" s="88"/>
      <c r="W799" s="88"/>
      <c r="X799" s="88"/>
      <c r="Y799" s="88"/>
      <c r="Z799" s="88"/>
      <c r="AA799" s="88"/>
      <c r="AB799" s="88"/>
      <c r="AC799" s="88"/>
      <c r="AD799" s="88"/>
      <c r="AE799" s="88"/>
    </row>
    <row r="800" spans="12:31" ht="15.75" customHeight="1" x14ac:dyDescent="0.3">
      <c r="L800" s="88"/>
      <c r="M800" s="88"/>
      <c r="N800" s="88"/>
      <c r="O800" s="88"/>
      <c r="P800" s="88"/>
      <c r="Q800" s="88"/>
      <c r="R800" s="88"/>
      <c r="S800" s="88"/>
      <c r="T800" s="88"/>
      <c r="U800" s="88"/>
      <c r="V800" s="88"/>
      <c r="W800" s="88"/>
      <c r="X800" s="88"/>
      <c r="Y800" s="88"/>
      <c r="Z800" s="88"/>
      <c r="AA800" s="88"/>
      <c r="AB800" s="88"/>
      <c r="AC800" s="88"/>
      <c r="AD800" s="88"/>
      <c r="AE800" s="88"/>
    </row>
    <row r="801" spans="12:31" ht="15.75" customHeight="1" x14ac:dyDescent="0.3">
      <c r="L801" s="88"/>
      <c r="M801" s="88"/>
      <c r="N801" s="88"/>
      <c r="O801" s="88"/>
      <c r="P801" s="88"/>
      <c r="Q801" s="88"/>
      <c r="R801" s="88"/>
      <c r="S801" s="88"/>
      <c r="T801" s="88"/>
      <c r="U801" s="88"/>
      <c r="V801" s="88"/>
      <c r="W801" s="88"/>
      <c r="X801" s="88"/>
      <c r="Y801" s="88"/>
      <c r="Z801" s="88"/>
      <c r="AA801" s="88"/>
      <c r="AB801" s="88"/>
      <c r="AC801" s="88"/>
      <c r="AD801" s="88"/>
      <c r="AE801" s="88"/>
    </row>
    <row r="802" spans="12:31" ht="15.75" customHeight="1" x14ac:dyDescent="0.3">
      <c r="L802" s="88"/>
      <c r="M802" s="88"/>
      <c r="N802" s="88"/>
      <c r="O802" s="88"/>
      <c r="P802" s="88"/>
      <c r="Q802" s="88"/>
      <c r="R802" s="88"/>
      <c r="S802" s="88"/>
      <c r="T802" s="88"/>
      <c r="U802" s="88"/>
      <c r="V802" s="88"/>
      <c r="W802" s="88"/>
      <c r="X802" s="88"/>
      <c r="Y802" s="88"/>
      <c r="Z802" s="88"/>
      <c r="AA802" s="88"/>
      <c r="AB802" s="88"/>
      <c r="AC802" s="88"/>
      <c r="AD802" s="88"/>
      <c r="AE802" s="88"/>
    </row>
    <row r="803" spans="12:31" ht="15.75" customHeight="1" x14ac:dyDescent="0.3">
      <c r="L803" s="88"/>
      <c r="M803" s="88"/>
      <c r="N803" s="88"/>
      <c r="O803" s="88"/>
      <c r="P803" s="88"/>
      <c r="Q803" s="88"/>
      <c r="R803" s="88"/>
      <c r="S803" s="88"/>
      <c r="T803" s="88"/>
      <c r="U803" s="88"/>
      <c r="V803" s="88"/>
      <c r="W803" s="88"/>
      <c r="X803" s="88"/>
      <c r="Y803" s="88"/>
      <c r="Z803" s="88"/>
      <c r="AA803" s="88"/>
      <c r="AB803" s="88"/>
      <c r="AC803" s="88"/>
      <c r="AD803" s="88"/>
      <c r="AE803" s="88"/>
    </row>
    <row r="804" spans="12:31" ht="15.75" customHeight="1" x14ac:dyDescent="0.3">
      <c r="L804" s="88"/>
      <c r="M804" s="88"/>
      <c r="N804" s="88"/>
      <c r="O804" s="88"/>
      <c r="P804" s="88"/>
      <c r="Q804" s="88"/>
      <c r="R804" s="88"/>
      <c r="S804" s="88"/>
      <c r="T804" s="88"/>
      <c r="U804" s="88"/>
      <c r="V804" s="88"/>
      <c r="W804" s="88"/>
      <c r="X804" s="88"/>
      <c r="Y804" s="88"/>
      <c r="Z804" s="88"/>
      <c r="AA804" s="88"/>
      <c r="AB804" s="88"/>
      <c r="AC804" s="88"/>
      <c r="AD804" s="88"/>
      <c r="AE804" s="88"/>
    </row>
    <row r="805" spans="12:31" ht="15.75" customHeight="1" x14ac:dyDescent="0.3">
      <c r="L805" s="88"/>
      <c r="M805" s="88"/>
      <c r="N805" s="88"/>
      <c r="O805" s="88"/>
      <c r="P805" s="88"/>
      <c r="Q805" s="88"/>
      <c r="R805" s="88"/>
      <c r="S805" s="88"/>
      <c r="T805" s="88"/>
      <c r="U805" s="88"/>
      <c r="V805" s="88"/>
      <c r="W805" s="88"/>
      <c r="X805" s="88"/>
      <c r="Y805" s="88"/>
      <c r="Z805" s="88"/>
      <c r="AA805" s="88"/>
      <c r="AB805" s="88"/>
      <c r="AC805" s="88"/>
      <c r="AD805" s="88"/>
      <c r="AE805" s="88"/>
    </row>
    <row r="806" spans="12:31" ht="15.75" customHeight="1" x14ac:dyDescent="0.3">
      <c r="L806" s="88"/>
      <c r="M806" s="88"/>
      <c r="N806" s="88"/>
      <c r="O806" s="88"/>
      <c r="P806" s="88"/>
      <c r="Q806" s="88"/>
      <c r="R806" s="88"/>
      <c r="S806" s="88"/>
      <c r="T806" s="88"/>
      <c r="U806" s="88"/>
      <c r="V806" s="88"/>
      <c r="W806" s="88"/>
      <c r="X806" s="88"/>
      <c r="Y806" s="88"/>
      <c r="Z806" s="88"/>
      <c r="AA806" s="88"/>
      <c r="AB806" s="88"/>
      <c r="AC806" s="88"/>
      <c r="AD806" s="88"/>
      <c r="AE806" s="88"/>
    </row>
    <row r="807" spans="12:31" ht="15.75" customHeight="1" x14ac:dyDescent="0.3">
      <c r="L807" s="88"/>
      <c r="M807" s="88"/>
      <c r="N807" s="88"/>
      <c r="O807" s="88"/>
      <c r="P807" s="88"/>
      <c r="Q807" s="88"/>
      <c r="R807" s="88"/>
      <c r="S807" s="88"/>
      <c r="T807" s="88"/>
      <c r="U807" s="88"/>
      <c r="V807" s="88"/>
      <c r="W807" s="88"/>
      <c r="X807" s="88"/>
      <c r="Y807" s="88"/>
      <c r="Z807" s="88"/>
      <c r="AA807" s="88"/>
      <c r="AB807" s="88"/>
      <c r="AC807" s="88"/>
      <c r="AD807" s="88"/>
      <c r="AE807" s="88"/>
    </row>
    <row r="808" spans="12:31" ht="15.75" customHeight="1" x14ac:dyDescent="0.3">
      <c r="L808" s="88"/>
      <c r="M808" s="88"/>
      <c r="N808" s="88"/>
      <c r="O808" s="88"/>
      <c r="P808" s="88"/>
      <c r="Q808" s="88"/>
      <c r="R808" s="88"/>
      <c r="S808" s="88"/>
      <c r="T808" s="88"/>
      <c r="U808" s="88"/>
      <c r="V808" s="88"/>
      <c r="W808" s="88"/>
      <c r="X808" s="88"/>
      <c r="Y808" s="88"/>
      <c r="Z808" s="88"/>
      <c r="AA808" s="88"/>
      <c r="AB808" s="88"/>
      <c r="AC808" s="88"/>
      <c r="AD808" s="88"/>
      <c r="AE808" s="88"/>
    </row>
    <row r="809" spans="12:31" ht="15.75" customHeight="1" x14ac:dyDescent="0.3">
      <c r="L809" s="88"/>
      <c r="M809" s="88"/>
      <c r="N809" s="88"/>
      <c r="O809" s="88"/>
      <c r="P809" s="88"/>
      <c r="Q809" s="88"/>
      <c r="R809" s="88"/>
      <c r="S809" s="88"/>
      <c r="T809" s="88"/>
      <c r="U809" s="88"/>
      <c r="V809" s="88"/>
      <c r="W809" s="88"/>
      <c r="X809" s="88"/>
      <c r="Y809" s="88"/>
      <c r="Z809" s="88"/>
      <c r="AA809" s="88"/>
      <c r="AB809" s="88"/>
      <c r="AC809" s="88"/>
      <c r="AD809" s="88"/>
      <c r="AE809" s="88"/>
    </row>
    <row r="810" spans="12:31" ht="15.75" customHeight="1" x14ac:dyDescent="0.3">
      <c r="L810" s="88"/>
      <c r="M810" s="88"/>
      <c r="N810" s="88"/>
      <c r="O810" s="88"/>
      <c r="P810" s="88"/>
      <c r="Q810" s="88"/>
      <c r="R810" s="88"/>
      <c r="S810" s="88"/>
      <c r="T810" s="88"/>
      <c r="U810" s="88"/>
      <c r="V810" s="88"/>
      <c r="W810" s="88"/>
      <c r="X810" s="88"/>
      <c r="Y810" s="88"/>
      <c r="Z810" s="88"/>
      <c r="AA810" s="88"/>
      <c r="AB810" s="88"/>
      <c r="AC810" s="88"/>
      <c r="AD810" s="88"/>
      <c r="AE810" s="88"/>
    </row>
    <row r="811" spans="12:31" ht="15.75" customHeight="1" x14ac:dyDescent="0.3">
      <c r="L811" s="88"/>
      <c r="M811" s="88"/>
      <c r="N811" s="88"/>
      <c r="O811" s="88"/>
      <c r="P811" s="88"/>
      <c r="Q811" s="88"/>
      <c r="R811" s="88"/>
      <c r="S811" s="88"/>
      <c r="T811" s="88"/>
      <c r="U811" s="88"/>
      <c r="V811" s="88"/>
      <c r="W811" s="88"/>
      <c r="X811" s="88"/>
      <c r="Y811" s="88"/>
      <c r="Z811" s="88"/>
      <c r="AA811" s="88"/>
      <c r="AB811" s="88"/>
      <c r="AC811" s="88"/>
      <c r="AD811" s="88"/>
      <c r="AE811" s="88"/>
    </row>
    <row r="812" spans="12:31" ht="15.75" customHeight="1" x14ac:dyDescent="0.3">
      <c r="L812" s="88"/>
      <c r="M812" s="88"/>
      <c r="N812" s="88"/>
      <c r="O812" s="88"/>
      <c r="P812" s="88"/>
      <c r="Q812" s="88"/>
      <c r="R812" s="88"/>
      <c r="S812" s="88"/>
      <c r="T812" s="88"/>
      <c r="U812" s="88"/>
      <c r="V812" s="88"/>
      <c r="W812" s="88"/>
      <c r="X812" s="88"/>
      <c r="Y812" s="88"/>
      <c r="Z812" s="88"/>
      <c r="AA812" s="88"/>
      <c r="AB812" s="88"/>
      <c r="AC812" s="88"/>
      <c r="AD812" s="88"/>
      <c r="AE812" s="88"/>
    </row>
    <row r="813" spans="12:31" ht="15.75" customHeight="1" x14ac:dyDescent="0.3">
      <c r="L813" s="88"/>
      <c r="M813" s="88"/>
      <c r="N813" s="88"/>
      <c r="O813" s="88"/>
      <c r="P813" s="88"/>
      <c r="Q813" s="88"/>
      <c r="R813" s="88"/>
      <c r="S813" s="88"/>
      <c r="T813" s="88"/>
      <c r="U813" s="88"/>
      <c r="V813" s="88"/>
      <c r="W813" s="88"/>
      <c r="X813" s="88"/>
      <c r="Y813" s="88"/>
      <c r="Z813" s="88"/>
      <c r="AA813" s="88"/>
      <c r="AB813" s="88"/>
      <c r="AC813" s="88"/>
      <c r="AD813" s="88"/>
      <c r="AE813" s="88"/>
    </row>
    <row r="814" spans="12:31" ht="15.75" customHeight="1" x14ac:dyDescent="0.3">
      <c r="L814" s="88"/>
      <c r="M814" s="88"/>
      <c r="N814" s="88"/>
      <c r="O814" s="88"/>
      <c r="P814" s="88"/>
      <c r="Q814" s="88"/>
      <c r="R814" s="88"/>
      <c r="S814" s="88"/>
      <c r="T814" s="88"/>
      <c r="U814" s="88"/>
      <c r="V814" s="88"/>
      <c r="W814" s="88"/>
      <c r="X814" s="88"/>
      <c r="Y814" s="88"/>
      <c r="Z814" s="88"/>
      <c r="AA814" s="88"/>
      <c r="AB814" s="88"/>
      <c r="AC814" s="88"/>
      <c r="AD814" s="88"/>
      <c r="AE814" s="88"/>
    </row>
    <row r="815" spans="12:31" ht="15.75" customHeight="1" x14ac:dyDescent="0.3">
      <c r="L815" s="88"/>
      <c r="M815" s="88"/>
      <c r="N815" s="88"/>
      <c r="O815" s="88"/>
      <c r="P815" s="88"/>
      <c r="Q815" s="88"/>
      <c r="R815" s="88"/>
      <c r="S815" s="88"/>
      <c r="T815" s="88"/>
      <c r="U815" s="88"/>
      <c r="V815" s="88"/>
      <c r="W815" s="88"/>
      <c r="X815" s="88"/>
      <c r="Y815" s="88"/>
      <c r="Z815" s="88"/>
      <c r="AA815" s="88"/>
      <c r="AB815" s="88"/>
      <c r="AC815" s="88"/>
      <c r="AD815" s="88"/>
      <c r="AE815" s="88"/>
    </row>
    <row r="816" spans="12:31" ht="15.75" customHeight="1" x14ac:dyDescent="0.3">
      <c r="L816" s="88"/>
      <c r="M816" s="88"/>
      <c r="N816" s="88"/>
      <c r="O816" s="88"/>
      <c r="P816" s="88"/>
      <c r="Q816" s="88"/>
      <c r="R816" s="88"/>
      <c r="S816" s="88"/>
      <c r="T816" s="88"/>
      <c r="U816" s="88"/>
      <c r="V816" s="88"/>
      <c r="W816" s="88"/>
      <c r="X816" s="88"/>
      <c r="Y816" s="88"/>
      <c r="Z816" s="88"/>
      <c r="AA816" s="88"/>
      <c r="AB816" s="88"/>
      <c r="AC816" s="88"/>
      <c r="AD816" s="88"/>
      <c r="AE816" s="88"/>
    </row>
    <row r="817" spans="12:31" ht="15.75" customHeight="1" x14ac:dyDescent="0.3">
      <c r="L817" s="88"/>
      <c r="M817" s="88"/>
      <c r="N817" s="88"/>
      <c r="O817" s="88"/>
      <c r="P817" s="88"/>
      <c r="Q817" s="88"/>
      <c r="R817" s="88"/>
      <c r="S817" s="88"/>
      <c r="T817" s="88"/>
      <c r="U817" s="88"/>
      <c r="V817" s="88"/>
      <c r="W817" s="88"/>
      <c r="X817" s="88"/>
      <c r="Y817" s="88"/>
      <c r="Z817" s="88"/>
      <c r="AA817" s="88"/>
      <c r="AB817" s="88"/>
      <c r="AC817" s="88"/>
      <c r="AD817" s="88"/>
      <c r="AE817" s="88"/>
    </row>
    <row r="818" spans="12:31" ht="15.75" customHeight="1" x14ac:dyDescent="0.3">
      <c r="L818" s="88"/>
      <c r="M818" s="88"/>
      <c r="N818" s="88"/>
      <c r="O818" s="88"/>
      <c r="P818" s="88"/>
      <c r="Q818" s="88"/>
      <c r="R818" s="88"/>
      <c r="S818" s="88"/>
      <c r="T818" s="88"/>
      <c r="U818" s="88"/>
      <c r="V818" s="88"/>
      <c r="W818" s="88"/>
      <c r="X818" s="88"/>
      <c r="Y818" s="88"/>
      <c r="Z818" s="88"/>
      <c r="AA818" s="88"/>
      <c r="AB818" s="88"/>
      <c r="AC818" s="88"/>
      <c r="AD818" s="88"/>
      <c r="AE818" s="88"/>
    </row>
    <row r="819" spans="12:31" ht="15.75" customHeight="1" x14ac:dyDescent="0.3">
      <c r="L819" s="88"/>
      <c r="M819" s="88"/>
      <c r="N819" s="88"/>
      <c r="O819" s="88"/>
      <c r="P819" s="88"/>
      <c r="Q819" s="88"/>
      <c r="R819" s="88"/>
      <c r="S819" s="88"/>
      <c r="T819" s="88"/>
      <c r="U819" s="88"/>
      <c r="V819" s="88"/>
      <c r="W819" s="88"/>
      <c r="X819" s="88"/>
      <c r="Y819" s="88"/>
      <c r="Z819" s="88"/>
      <c r="AA819" s="88"/>
      <c r="AB819" s="88"/>
      <c r="AC819" s="88"/>
      <c r="AD819" s="88"/>
      <c r="AE819" s="88"/>
    </row>
    <row r="820" spans="12:31" ht="15.75" customHeight="1" x14ac:dyDescent="0.3">
      <c r="L820" s="88"/>
      <c r="M820" s="88"/>
      <c r="N820" s="88"/>
      <c r="O820" s="88"/>
      <c r="P820" s="88"/>
      <c r="Q820" s="88"/>
      <c r="R820" s="88"/>
      <c r="S820" s="88"/>
      <c r="T820" s="88"/>
      <c r="U820" s="88"/>
      <c r="V820" s="88"/>
      <c r="W820" s="88"/>
      <c r="X820" s="88"/>
      <c r="Y820" s="88"/>
      <c r="Z820" s="88"/>
      <c r="AA820" s="88"/>
      <c r="AB820" s="88"/>
      <c r="AC820" s="88"/>
      <c r="AD820" s="88"/>
      <c r="AE820" s="88"/>
    </row>
    <row r="821" spans="12:31" ht="15.75" customHeight="1" x14ac:dyDescent="0.3">
      <c r="L821" s="88"/>
      <c r="M821" s="88"/>
      <c r="N821" s="88"/>
      <c r="O821" s="88"/>
      <c r="P821" s="88"/>
      <c r="Q821" s="88"/>
      <c r="R821" s="88"/>
      <c r="S821" s="88"/>
      <c r="T821" s="88"/>
      <c r="U821" s="88"/>
      <c r="V821" s="88"/>
      <c r="W821" s="88"/>
      <c r="X821" s="88"/>
      <c r="Y821" s="88"/>
      <c r="Z821" s="88"/>
      <c r="AA821" s="88"/>
      <c r="AB821" s="88"/>
      <c r="AC821" s="88"/>
      <c r="AD821" s="88"/>
      <c r="AE821" s="88"/>
    </row>
    <row r="822" spans="12:31" ht="15.75" customHeight="1" x14ac:dyDescent="0.3">
      <c r="L822" s="88"/>
      <c r="M822" s="88"/>
      <c r="N822" s="88"/>
      <c r="O822" s="88"/>
      <c r="P822" s="88"/>
      <c r="Q822" s="88"/>
      <c r="R822" s="88"/>
      <c r="S822" s="88"/>
      <c r="T822" s="88"/>
      <c r="U822" s="88"/>
      <c r="V822" s="88"/>
      <c r="W822" s="88"/>
      <c r="X822" s="88"/>
      <c r="Y822" s="88"/>
      <c r="Z822" s="88"/>
      <c r="AA822" s="88"/>
      <c r="AB822" s="88"/>
      <c r="AC822" s="88"/>
      <c r="AD822" s="88"/>
      <c r="AE822" s="88"/>
    </row>
    <row r="823" spans="12:31" ht="15.75" customHeight="1" x14ac:dyDescent="0.3">
      <c r="L823" s="88"/>
      <c r="M823" s="88"/>
      <c r="N823" s="88"/>
      <c r="O823" s="88"/>
      <c r="P823" s="88"/>
      <c r="Q823" s="88"/>
      <c r="R823" s="88"/>
      <c r="S823" s="88"/>
      <c r="T823" s="88"/>
      <c r="U823" s="88"/>
      <c r="V823" s="88"/>
      <c r="W823" s="88"/>
      <c r="X823" s="88"/>
      <c r="Y823" s="88"/>
      <c r="Z823" s="88"/>
      <c r="AA823" s="88"/>
      <c r="AB823" s="88"/>
      <c r="AC823" s="88"/>
      <c r="AD823" s="88"/>
      <c r="AE823" s="88"/>
    </row>
    <row r="824" spans="12:31" ht="15.75" customHeight="1" x14ac:dyDescent="0.3">
      <c r="L824" s="88"/>
      <c r="M824" s="88"/>
      <c r="N824" s="88"/>
      <c r="O824" s="88"/>
      <c r="P824" s="88"/>
      <c r="Q824" s="88"/>
      <c r="R824" s="88"/>
      <c r="S824" s="88"/>
      <c r="T824" s="88"/>
      <c r="U824" s="88"/>
      <c r="V824" s="88"/>
      <c r="W824" s="88"/>
      <c r="X824" s="88"/>
      <c r="Y824" s="88"/>
      <c r="Z824" s="88"/>
      <c r="AA824" s="88"/>
      <c r="AB824" s="88"/>
      <c r="AC824" s="88"/>
      <c r="AD824" s="88"/>
      <c r="AE824" s="88"/>
    </row>
    <row r="825" spans="12:31" ht="15.75" customHeight="1" x14ac:dyDescent="0.3">
      <c r="L825" s="88"/>
      <c r="M825" s="88"/>
      <c r="N825" s="88"/>
      <c r="O825" s="88"/>
      <c r="P825" s="88"/>
      <c r="Q825" s="88"/>
      <c r="R825" s="88"/>
      <c r="S825" s="88"/>
      <c r="T825" s="88"/>
      <c r="U825" s="88"/>
      <c r="V825" s="88"/>
      <c r="W825" s="88"/>
      <c r="X825" s="88"/>
      <c r="Y825" s="88"/>
      <c r="Z825" s="88"/>
      <c r="AA825" s="88"/>
      <c r="AB825" s="88"/>
      <c r="AC825" s="88"/>
      <c r="AD825" s="88"/>
      <c r="AE825" s="88"/>
    </row>
    <row r="826" spans="12:31" ht="15.75" customHeight="1" x14ac:dyDescent="0.3">
      <c r="L826" s="88"/>
      <c r="M826" s="88"/>
      <c r="N826" s="88"/>
      <c r="O826" s="88"/>
      <c r="P826" s="88"/>
      <c r="Q826" s="88"/>
      <c r="R826" s="88"/>
      <c r="S826" s="88"/>
      <c r="T826" s="88"/>
      <c r="U826" s="88"/>
      <c r="V826" s="88"/>
      <c r="W826" s="88"/>
      <c r="X826" s="88"/>
      <c r="Y826" s="88"/>
      <c r="Z826" s="88"/>
      <c r="AA826" s="88"/>
      <c r="AB826" s="88"/>
      <c r="AC826" s="88"/>
      <c r="AD826" s="88"/>
      <c r="AE826" s="88"/>
    </row>
    <row r="827" spans="12:31" ht="15.75" customHeight="1" x14ac:dyDescent="0.3">
      <c r="L827" s="88"/>
      <c r="M827" s="88"/>
      <c r="N827" s="88"/>
      <c r="O827" s="88"/>
      <c r="P827" s="88"/>
      <c r="Q827" s="88"/>
      <c r="R827" s="88"/>
      <c r="S827" s="88"/>
      <c r="T827" s="88"/>
      <c r="U827" s="88"/>
      <c r="V827" s="88"/>
      <c r="W827" s="88"/>
      <c r="X827" s="88"/>
      <c r="Y827" s="88"/>
      <c r="Z827" s="88"/>
      <c r="AA827" s="88"/>
      <c r="AB827" s="88"/>
      <c r="AC827" s="88"/>
      <c r="AD827" s="88"/>
      <c r="AE827" s="88"/>
    </row>
    <row r="828" spans="12:31" ht="15.75" customHeight="1" x14ac:dyDescent="0.3">
      <c r="L828" s="88"/>
      <c r="M828" s="88"/>
      <c r="N828" s="88"/>
      <c r="O828" s="88"/>
      <c r="P828" s="88"/>
      <c r="Q828" s="88"/>
      <c r="R828" s="88"/>
      <c r="S828" s="88"/>
      <c r="T828" s="88"/>
      <c r="U828" s="88"/>
      <c r="V828" s="88"/>
      <c r="W828" s="88"/>
      <c r="X828" s="88"/>
      <c r="Y828" s="88"/>
      <c r="Z828" s="88"/>
      <c r="AA828" s="88"/>
      <c r="AB828" s="88"/>
      <c r="AC828" s="88"/>
      <c r="AD828" s="88"/>
      <c r="AE828" s="88"/>
    </row>
    <row r="829" spans="12:31" ht="15.75" customHeight="1" x14ac:dyDescent="0.3">
      <c r="L829" s="88"/>
      <c r="M829" s="88"/>
      <c r="N829" s="88"/>
      <c r="O829" s="88"/>
      <c r="P829" s="88"/>
      <c r="Q829" s="88"/>
      <c r="R829" s="88"/>
      <c r="S829" s="88"/>
      <c r="T829" s="88"/>
      <c r="U829" s="88"/>
      <c r="V829" s="88"/>
      <c r="W829" s="88"/>
      <c r="X829" s="88"/>
      <c r="Y829" s="88"/>
      <c r="Z829" s="88"/>
      <c r="AA829" s="88"/>
      <c r="AB829" s="88"/>
      <c r="AC829" s="88"/>
      <c r="AD829" s="88"/>
      <c r="AE829" s="88"/>
    </row>
    <row r="830" spans="12:31" ht="15.75" customHeight="1" x14ac:dyDescent="0.3">
      <c r="L830" s="88"/>
      <c r="M830" s="88"/>
      <c r="N830" s="88"/>
      <c r="O830" s="88"/>
      <c r="P830" s="88"/>
      <c r="Q830" s="88"/>
      <c r="R830" s="88"/>
      <c r="S830" s="88"/>
      <c r="T830" s="88"/>
      <c r="U830" s="88"/>
      <c r="V830" s="88"/>
      <c r="W830" s="88"/>
      <c r="X830" s="88"/>
      <c r="Y830" s="88"/>
      <c r="Z830" s="88"/>
      <c r="AA830" s="88"/>
      <c r="AB830" s="88"/>
      <c r="AC830" s="88"/>
      <c r="AD830" s="88"/>
      <c r="AE830" s="88"/>
    </row>
    <row r="831" spans="12:31" ht="15.75" customHeight="1" x14ac:dyDescent="0.3">
      <c r="L831" s="88"/>
      <c r="M831" s="88"/>
      <c r="N831" s="88"/>
      <c r="O831" s="88"/>
      <c r="P831" s="88"/>
      <c r="Q831" s="88"/>
      <c r="R831" s="88"/>
      <c r="S831" s="88"/>
      <c r="T831" s="88"/>
      <c r="U831" s="88"/>
      <c r="V831" s="88"/>
      <c r="W831" s="88"/>
      <c r="X831" s="88"/>
      <c r="Y831" s="88"/>
      <c r="Z831" s="88"/>
      <c r="AA831" s="88"/>
      <c r="AB831" s="88"/>
      <c r="AC831" s="88"/>
      <c r="AD831" s="88"/>
      <c r="AE831" s="88"/>
    </row>
    <row r="832" spans="12:31" ht="15.75" customHeight="1" x14ac:dyDescent="0.3">
      <c r="L832" s="88"/>
      <c r="M832" s="88"/>
      <c r="N832" s="88"/>
      <c r="O832" s="88"/>
      <c r="P832" s="88"/>
      <c r="Q832" s="88"/>
      <c r="R832" s="88"/>
      <c r="S832" s="88"/>
      <c r="T832" s="88"/>
      <c r="U832" s="88"/>
      <c r="V832" s="88"/>
      <c r="W832" s="88"/>
      <c r="X832" s="88"/>
      <c r="Y832" s="88"/>
      <c r="Z832" s="88"/>
      <c r="AA832" s="88"/>
      <c r="AB832" s="88"/>
      <c r="AC832" s="88"/>
      <c r="AD832" s="88"/>
      <c r="AE832" s="88"/>
    </row>
    <row r="833" spans="12:31" ht="15.75" customHeight="1" x14ac:dyDescent="0.3">
      <c r="L833" s="88"/>
      <c r="M833" s="88"/>
      <c r="N833" s="88"/>
      <c r="O833" s="88"/>
      <c r="P833" s="88"/>
      <c r="Q833" s="88"/>
      <c r="R833" s="88"/>
      <c r="S833" s="88"/>
      <c r="T833" s="88"/>
      <c r="U833" s="88"/>
      <c r="V833" s="88"/>
      <c r="W833" s="88"/>
      <c r="X833" s="88"/>
      <c r="Y833" s="88"/>
      <c r="Z833" s="88"/>
      <c r="AA833" s="88"/>
      <c r="AB833" s="88"/>
      <c r="AC833" s="88"/>
      <c r="AD833" s="88"/>
      <c r="AE833" s="88"/>
    </row>
    <row r="834" spans="12:31" ht="15.75" customHeight="1" x14ac:dyDescent="0.3">
      <c r="L834" s="88"/>
      <c r="M834" s="88"/>
      <c r="N834" s="88"/>
      <c r="O834" s="88"/>
      <c r="P834" s="88"/>
      <c r="Q834" s="88"/>
      <c r="R834" s="88"/>
      <c r="S834" s="88"/>
      <c r="T834" s="88"/>
      <c r="U834" s="88"/>
      <c r="V834" s="88"/>
      <c r="W834" s="88"/>
      <c r="X834" s="88"/>
      <c r="Y834" s="88"/>
      <c r="Z834" s="88"/>
      <c r="AA834" s="88"/>
      <c r="AB834" s="88"/>
      <c r="AC834" s="88"/>
      <c r="AD834" s="88"/>
      <c r="AE834" s="88"/>
    </row>
    <row r="835" spans="12:31" ht="15.75" customHeight="1" x14ac:dyDescent="0.3">
      <c r="L835" s="88"/>
      <c r="M835" s="88"/>
      <c r="N835" s="88"/>
      <c r="O835" s="88"/>
      <c r="P835" s="88"/>
      <c r="Q835" s="88"/>
      <c r="R835" s="88"/>
      <c r="S835" s="88"/>
      <c r="T835" s="88"/>
      <c r="U835" s="88"/>
      <c r="V835" s="88"/>
      <c r="W835" s="88"/>
      <c r="X835" s="88"/>
      <c r="Y835" s="88"/>
      <c r="Z835" s="88"/>
      <c r="AA835" s="88"/>
      <c r="AB835" s="88"/>
      <c r="AC835" s="88"/>
      <c r="AD835" s="88"/>
      <c r="AE835" s="88"/>
    </row>
    <row r="836" spans="12:31" ht="15.75" customHeight="1" x14ac:dyDescent="0.3">
      <c r="L836" s="88"/>
      <c r="M836" s="88"/>
      <c r="N836" s="88"/>
      <c r="O836" s="88"/>
      <c r="P836" s="88"/>
      <c r="Q836" s="88"/>
      <c r="R836" s="88"/>
      <c r="S836" s="88"/>
      <c r="T836" s="88"/>
      <c r="U836" s="88"/>
      <c r="V836" s="88"/>
      <c r="W836" s="88"/>
      <c r="X836" s="88"/>
      <c r="Y836" s="88"/>
      <c r="Z836" s="88"/>
      <c r="AA836" s="88"/>
      <c r="AB836" s="88"/>
      <c r="AC836" s="88"/>
      <c r="AD836" s="88"/>
      <c r="AE836" s="88"/>
    </row>
    <row r="837" spans="12:31" ht="15.75" customHeight="1" x14ac:dyDescent="0.3">
      <c r="L837" s="88"/>
      <c r="M837" s="88"/>
      <c r="N837" s="88"/>
      <c r="O837" s="88"/>
      <c r="P837" s="88"/>
      <c r="Q837" s="88"/>
      <c r="R837" s="88"/>
      <c r="S837" s="88"/>
      <c r="T837" s="88"/>
      <c r="U837" s="88"/>
      <c r="V837" s="88"/>
      <c r="W837" s="88"/>
      <c r="X837" s="88"/>
      <c r="Y837" s="88"/>
      <c r="Z837" s="88"/>
      <c r="AA837" s="88"/>
      <c r="AB837" s="88"/>
      <c r="AC837" s="88"/>
      <c r="AD837" s="88"/>
      <c r="AE837" s="88"/>
    </row>
    <row r="838" spans="12:31" ht="15.75" customHeight="1" x14ac:dyDescent="0.3">
      <c r="L838" s="88"/>
      <c r="M838" s="88"/>
      <c r="N838" s="88"/>
      <c r="O838" s="88"/>
      <c r="P838" s="88"/>
      <c r="Q838" s="88"/>
      <c r="R838" s="88"/>
      <c r="S838" s="88"/>
      <c r="T838" s="88"/>
      <c r="U838" s="88"/>
      <c r="V838" s="88"/>
      <c r="W838" s="88"/>
      <c r="X838" s="88"/>
      <c r="Y838" s="88"/>
      <c r="Z838" s="88"/>
      <c r="AA838" s="88"/>
      <c r="AB838" s="88"/>
      <c r="AC838" s="88"/>
      <c r="AD838" s="88"/>
      <c r="AE838" s="88"/>
    </row>
    <row r="839" spans="12:31" ht="15.75" customHeight="1" x14ac:dyDescent="0.3">
      <c r="L839" s="88"/>
      <c r="M839" s="88"/>
      <c r="N839" s="88"/>
      <c r="O839" s="88"/>
      <c r="P839" s="88"/>
      <c r="Q839" s="88"/>
      <c r="R839" s="88"/>
      <c r="S839" s="88"/>
      <c r="T839" s="88"/>
      <c r="U839" s="88"/>
      <c r="V839" s="88"/>
      <c r="W839" s="88"/>
      <c r="X839" s="88"/>
      <c r="Y839" s="88"/>
      <c r="Z839" s="88"/>
      <c r="AA839" s="88"/>
      <c r="AB839" s="88"/>
      <c r="AC839" s="88"/>
      <c r="AD839" s="88"/>
      <c r="AE839" s="88"/>
    </row>
    <row r="840" spans="12:31" ht="15.75" customHeight="1" x14ac:dyDescent="0.3">
      <c r="L840" s="88"/>
      <c r="M840" s="88"/>
      <c r="N840" s="88"/>
      <c r="O840" s="88"/>
      <c r="P840" s="88"/>
      <c r="Q840" s="88"/>
      <c r="R840" s="88"/>
      <c r="S840" s="88"/>
      <c r="T840" s="88"/>
      <c r="U840" s="88"/>
      <c r="V840" s="88"/>
      <c r="W840" s="88"/>
      <c r="X840" s="88"/>
      <c r="Y840" s="88"/>
      <c r="Z840" s="88"/>
      <c r="AA840" s="88"/>
      <c r="AB840" s="88"/>
      <c r="AC840" s="88"/>
      <c r="AD840" s="88"/>
      <c r="AE840" s="88"/>
    </row>
    <row r="841" spans="12:31" ht="15.75" customHeight="1" x14ac:dyDescent="0.3">
      <c r="L841" s="88"/>
      <c r="M841" s="88"/>
      <c r="N841" s="88"/>
      <c r="O841" s="88"/>
      <c r="P841" s="88"/>
      <c r="Q841" s="88"/>
      <c r="R841" s="88"/>
      <c r="S841" s="88"/>
      <c r="T841" s="88"/>
      <c r="U841" s="88"/>
      <c r="V841" s="88"/>
      <c r="W841" s="88"/>
      <c r="X841" s="88"/>
      <c r="Y841" s="88"/>
      <c r="Z841" s="88"/>
      <c r="AA841" s="88"/>
      <c r="AB841" s="88"/>
      <c r="AC841" s="88"/>
      <c r="AD841" s="88"/>
      <c r="AE841" s="88"/>
    </row>
    <row r="842" spans="12:31" ht="15.75" customHeight="1" x14ac:dyDescent="0.3">
      <c r="L842" s="88"/>
      <c r="M842" s="88"/>
      <c r="N842" s="88"/>
      <c r="O842" s="88"/>
      <c r="P842" s="88"/>
      <c r="Q842" s="88"/>
      <c r="R842" s="88"/>
      <c r="S842" s="88"/>
      <c r="T842" s="88"/>
      <c r="U842" s="88"/>
      <c r="V842" s="88"/>
      <c r="W842" s="88"/>
      <c r="X842" s="88"/>
      <c r="Y842" s="88"/>
      <c r="Z842" s="88"/>
      <c r="AA842" s="88"/>
      <c r="AB842" s="88"/>
      <c r="AC842" s="88"/>
      <c r="AD842" s="88"/>
      <c r="AE842" s="88"/>
    </row>
    <row r="843" spans="12:31" ht="15.75" customHeight="1" x14ac:dyDescent="0.3">
      <c r="L843" s="88"/>
      <c r="M843" s="88"/>
      <c r="N843" s="88"/>
      <c r="O843" s="88"/>
      <c r="P843" s="88"/>
      <c r="Q843" s="88"/>
      <c r="R843" s="88"/>
      <c r="S843" s="88"/>
      <c r="T843" s="88"/>
      <c r="U843" s="88"/>
      <c r="V843" s="88"/>
      <c r="W843" s="88"/>
      <c r="X843" s="88"/>
      <c r="Y843" s="88"/>
      <c r="Z843" s="88"/>
      <c r="AA843" s="88"/>
      <c r="AB843" s="88"/>
      <c r="AC843" s="88"/>
      <c r="AD843" s="88"/>
      <c r="AE843" s="88"/>
    </row>
    <row r="844" spans="12:31" ht="15.75" customHeight="1" x14ac:dyDescent="0.3">
      <c r="L844" s="88"/>
      <c r="M844" s="88"/>
      <c r="N844" s="88"/>
      <c r="O844" s="88"/>
      <c r="P844" s="88"/>
      <c r="Q844" s="88"/>
      <c r="R844" s="88"/>
      <c r="S844" s="88"/>
      <c r="T844" s="88"/>
      <c r="U844" s="88"/>
      <c r="V844" s="88"/>
      <c r="W844" s="88"/>
      <c r="X844" s="88"/>
      <c r="Y844" s="88"/>
      <c r="Z844" s="88"/>
      <c r="AA844" s="88"/>
      <c r="AB844" s="88"/>
      <c r="AC844" s="88"/>
      <c r="AD844" s="88"/>
      <c r="AE844" s="88"/>
    </row>
    <row r="845" spans="12:31" ht="15.75" customHeight="1" x14ac:dyDescent="0.3">
      <c r="L845" s="88"/>
      <c r="M845" s="88"/>
      <c r="N845" s="88"/>
      <c r="O845" s="88"/>
      <c r="P845" s="88"/>
      <c r="Q845" s="88"/>
      <c r="R845" s="88"/>
      <c r="S845" s="88"/>
      <c r="T845" s="88"/>
      <c r="U845" s="88"/>
      <c r="V845" s="88"/>
      <c r="W845" s="88"/>
      <c r="X845" s="88"/>
      <c r="Y845" s="88"/>
      <c r="Z845" s="88"/>
      <c r="AA845" s="88"/>
      <c r="AB845" s="88"/>
      <c r="AC845" s="88"/>
      <c r="AD845" s="88"/>
      <c r="AE845" s="88"/>
    </row>
    <row r="846" spans="12:31" ht="15.75" customHeight="1" x14ac:dyDescent="0.3">
      <c r="L846" s="88"/>
      <c r="M846" s="88"/>
      <c r="N846" s="88"/>
      <c r="O846" s="88"/>
      <c r="P846" s="88"/>
      <c r="Q846" s="88"/>
      <c r="R846" s="88"/>
      <c r="S846" s="88"/>
      <c r="T846" s="88"/>
      <c r="U846" s="88"/>
      <c r="V846" s="88"/>
      <c r="W846" s="88"/>
      <c r="X846" s="88"/>
      <c r="Y846" s="88"/>
      <c r="Z846" s="88"/>
      <c r="AA846" s="88"/>
      <c r="AB846" s="88"/>
      <c r="AC846" s="88"/>
      <c r="AD846" s="88"/>
      <c r="AE846" s="88"/>
    </row>
    <row r="847" spans="12:31" ht="15.75" customHeight="1" x14ac:dyDescent="0.3">
      <c r="L847" s="88"/>
      <c r="M847" s="88"/>
      <c r="N847" s="88"/>
      <c r="O847" s="88"/>
      <c r="P847" s="88"/>
      <c r="Q847" s="88"/>
      <c r="R847" s="88"/>
      <c r="S847" s="88"/>
      <c r="T847" s="88"/>
      <c r="U847" s="88"/>
      <c r="V847" s="88"/>
      <c r="W847" s="88"/>
      <c r="X847" s="88"/>
      <c r="Y847" s="88"/>
      <c r="Z847" s="88"/>
      <c r="AA847" s="88"/>
      <c r="AB847" s="88"/>
      <c r="AC847" s="88"/>
      <c r="AD847" s="88"/>
      <c r="AE847" s="88"/>
    </row>
    <row r="848" spans="12:31" ht="15.75" customHeight="1" x14ac:dyDescent="0.3">
      <c r="L848" s="88"/>
      <c r="M848" s="88"/>
      <c r="N848" s="88"/>
      <c r="O848" s="88"/>
      <c r="P848" s="88"/>
      <c r="Q848" s="88"/>
      <c r="R848" s="88"/>
      <c r="S848" s="88"/>
      <c r="T848" s="88"/>
      <c r="U848" s="88"/>
      <c r="V848" s="88"/>
      <c r="W848" s="88"/>
      <c r="X848" s="88"/>
      <c r="Y848" s="88"/>
      <c r="Z848" s="88"/>
      <c r="AA848" s="88"/>
      <c r="AB848" s="88"/>
      <c r="AC848" s="88"/>
      <c r="AD848" s="88"/>
      <c r="AE848" s="88"/>
    </row>
    <row r="849" spans="12:31" ht="15.75" customHeight="1" x14ac:dyDescent="0.3">
      <c r="L849" s="88"/>
      <c r="M849" s="88"/>
      <c r="N849" s="88"/>
      <c r="O849" s="88"/>
      <c r="P849" s="88"/>
      <c r="Q849" s="88"/>
      <c r="R849" s="88"/>
      <c r="S849" s="88"/>
      <c r="T849" s="88"/>
      <c r="U849" s="88"/>
      <c r="V849" s="88"/>
      <c r="W849" s="88"/>
      <c r="X849" s="88"/>
      <c r="Y849" s="88"/>
      <c r="Z849" s="88"/>
      <c r="AA849" s="88"/>
      <c r="AB849" s="88"/>
      <c r="AC849" s="88"/>
      <c r="AD849" s="88"/>
      <c r="AE849" s="88"/>
    </row>
    <row r="850" spans="12:31" ht="15.75" customHeight="1" x14ac:dyDescent="0.3">
      <c r="L850" s="88"/>
      <c r="M850" s="88"/>
      <c r="N850" s="88"/>
      <c r="O850" s="88"/>
      <c r="P850" s="88"/>
      <c r="Q850" s="88"/>
      <c r="R850" s="88"/>
      <c r="S850" s="88"/>
      <c r="T850" s="88"/>
      <c r="U850" s="88"/>
      <c r="V850" s="88"/>
      <c r="W850" s="88"/>
      <c r="X850" s="88"/>
      <c r="Y850" s="88"/>
      <c r="Z850" s="88"/>
      <c r="AA850" s="88"/>
      <c r="AB850" s="88"/>
      <c r="AC850" s="88"/>
      <c r="AD850" s="88"/>
      <c r="AE850" s="88"/>
    </row>
    <row r="851" spans="12:31" ht="15.75" customHeight="1" x14ac:dyDescent="0.3">
      <c r="L851" s="88"/>
      <c r="M851" s="88"/>
      <c r="N851" s="88"/>
      <c r="O851" s="88"/>
      <c r="P851" s="88"/>
      <c r="Q851" s="88"/>
      <c r="R851" s="88"/>
      <c r="S851" s="88"/>
      <c r="T851" s="88"/>
      <c r="U851" s="88"/>
      <c r="V851" s="88"/>
      <c r="W851" s="88"/>
      <c r="X851" s="88"/>
      <c r="Y851" s="88"/>
      <c r="Z851" s="88"/>
      <c r="AA851" s="88"/>
      <c r="AB851" s="88"/>
      <c r="AC851" s="88"/>
      <c r="AD851" s="88"/>
      <c r="AE851" s="88"/>
    </row>
    <row r="852" spans="12:31" ht="15.75" customHeight="1" x14ac:dyDescent="0.3">
      <c r="L852" s="88"/>
      <c r="M852" s="88"/>
      <c r="N852" s="88"/>
      <c r="O852" s="88"/>
      <c r="P852" s="88"/>
      <c r="Q852" s="88"/>
      <c r="R852" s="88"/>
      <c r="S852" s="88"/>
      <c r="T852" s="88"/>
      <c r="U852" s="88"/>
      <c r="V852" s="88"/>
      <c r="W852" s="88"/>
      <c r="X852" s="88"/>
      <c r="Y852" s="88"/>
      <c r="Z852" s="88"/>
      <c r="AA852" s="88"/>
      <c r="AB852" s="88"/>
      <c r="AC852" s="88"/>
      <c r="AD852" s="88"/>
      <c r="AE852" s="88"/>
    </row>
    <row r="853" spans="12:31" ht="15.75" customHeight="1" x14ac:dyDescent="0.3">
      <c r="L853" s="88"/>
      <c r="M853" s="88"/>
      <c r="N853" s="88"/>
      <c r="O853" s="88"/>
      <c r="P853" s="88"/>
      <c r="Q853" s="88"/>
      <c r="R853" s="88"/>
      <c r="S853" s="88"/>
      <c r="T853" s="88"/>
      <c r="U853" s="88"/>
      <c r="V853" s="88"/>
      <c r="W853" s="88"/>
      <c r="X853" s="88"/>
      <c r="Y853" s="88"/>
      <c r="Z853" s="88"/>
      <c r="AA853" s="88"/>
      <c r="AB853" s="88"/>
      <c r="AC853" s="88"/>
      <c r="AD853" s="88"/>
      <c r="AE853" s="88"/>
    </row>
    <row r="854" spans="12:31" ht="15.75" customHeight="1" x14ac:dyDescent="0.3">
      <c r="L854" s="88"/>
      <c r="M854" s="88"/>
      <c r="N854" s="88"/>
      <c r="O854" s="88"/>
      <c r="P854" s="88"/>
      <c r="Q854" s="88"/>
      <c r="R854" s="88"/>
      <c r="S854" s="88"/>
      <c r="T854" s="88"/>
      <c r="U854" s="88"/>
      <c r="V854" s="88"/>
      <c r="W854" s="88"/>
      <c r="X854" s="88"/>
      <c r="Y854" s="88"/>
      <c r="Z854" s="88"/>
      <c r="AA854" s="88"/>
      <c r="AB854" s="88"/>
      <c r="AC854" s="88"/>
      <c r="AD854" s="88"/>
      <c r="AE854" s="88"/>
    </row>
    <row r="855" spans="12:31" ht="15.75" customHeight="1" x14ac:dyDescent="0.3">
      <c r="L855" s="88"/>
      <c r="M855" s="88"/>
      <c r="N855" s="88"/>
      <c r="O855" s="88"/>
      <c r="P855" s="88"/>
      <c r="Q855" s="88"/>
      <c r="R855" s="88"/>
      <c r="S855" s="88"/>
      <c r="T855" s="88"/>
      <c r="U855" s="88"/>
      <c r="V855" s="88"/>
      <c r="W855" s="88"/>
      <c r="X855" s="88"/>
      <c r="Y855" s="88"/>
      <c r="Z855" s="88"/>
      <c r="AA855" s="88"/>
      <c r="AB855" s="88"/>
      <c r="AC855" s="88"/>
      <c r="AD855" s="88"/>
      <c r="AE855" s="88"/>
    </row>
    <row r="856" spans="12:31" ht="15.75" customHeight="1" x14ac:dyDescent="0.3">
      <c r="L856" s="88"/>
      <c r="M856" s="88"/>
      <c r="N856" s="88"/>
      <c r="O856" s="88"/>
      <c r="P856" s="88"/>
      <c r="Q856" s="88"/>
      <c r="R856" s="88"/>
      <c r="S856" s="88"/>
      <c r="T856" s="88"/>
      <c r="U856" s="88"/>
      <c r="V856" s="88"/>
      <c r="W856" s="88"/>
      <c r="X856" s="88"/>
      <c r="Y856" s="88"/>
      <c r="Z856" s="88"/>
      <c r="AA856" s="88"/>
      <c r="AB856" s="88"/>
      <c r="AC856" s="88"/>
      <c r="AD856" s="88"/>
      <c r="AE856" s="88"/>
    </row>
    <row r="857" spans="12:31" ht="15.75" customHeight="1" x14ac:dyDescent="0.3">
      <c r="L857" s="88"/>
      <c r="M857" s="88"/>
      <c r="N857" s="88"/>
      <c r="O857" s="88"/>
      <c r="P857" s="88"/>
      <c r="Q857" s="88"/>
      <c r="R857" s="88"/>
      <c r="S857" s="88"/>
      <c r="T857" s="88"/>
      <c r="U857" s="88"/>
      <c r="V857" s="88"/>
      <c r="W857" s="88"/>
      <c r="X857" s="88"/>
      <c r="Y857" s="88"/>
      <c r="Z857" s="88"/>
      <c r="AA857" s="88"/>
      <c r="AB857" s="88"/>
      <c r="AC857" s="88"/>
      <c r="AD857" s="88"/>
      <c r="AE857" s="88"/>
    </row>
    <row r="858" spans="12:31" ht="15.75" customHeight="1" x14ac:dyDescent="0.3">
      <c r="L858" s="88"/>
      <c r="M858" s="88"/>
      <c r="N858" s="88"/>
      <c r="O858" s="88"/>
      <c r="P858" s="88"/>
      <c r="Q858" s="88"/>
      <c r="R858" s="88"/>
      <c r="S858" s="88"/>
      <c r="T858" s="88"/>
      <c r="U858" s="88"/>
      <c r="V858" s="88"/>
      <c r="W858" s="88"/>
      <c r="X858" s="88"/>
      <c r="Y858" s="88"/>
      <c r="Z858" s="88"/>
      <c r="AA858" s="88"/>
      <c r="AB858" s="88"/>
      <c r="AC858" s="88"/>
      <c r="AD858" s="88"/>
      <c r="AE858" s="88"/>
    </row>
    <row r="859" spans="12:31" ht="15.75" customHeight="1" x14ac:dyDescent="0.3">
      <c r="L859" s="88"/>
      <c r="M859" s="88"/>
      <c r="N859" s="88"/>
      <c r="O859" s="88"/>
      <c r="P859" s="88"/>
      <c r="Q859" s="88"/>
      <c r="R859" s="88"/>
      <c r="S859" s="88"/>
      <c r="T859" s="88"/>
      <c r="U859" s="88"/>
      <c r="V859" s="88"/>
      <c r="W859" s="88"/>
      <c r="X859" s="88"/>
      <c r="Y859" s="88"/>
      <c r="Z859" s="88"/>
      <c r="AA859" s="88"/>
      <c r="AB859" s="88"/>
      <c r="AC859" s="88"/>
      <c r="AD859" s="88"/>
      <c r="AE859" s="88"/>
    </row>
    <row r="860" spans="12:31" ht="15.75" customHeight="1" x14ac:dyDescent="0.3">
      <c r="L860" s="88"/>
      <c r="M860" s="88"/>
      <c r="N860" s="88"/>
      <c r="O860" s="88"/>
      <c r="P860" s="88"/>
      <c r="Q860" s="88"/>
      <c r="R860" s="88"/>
      <c r="S860" s="88"/>
      <c r="T860" s="88"/>
      <c r="U860" s="88"/>
      <c r="V860" s="88"/>
      <c r="W860" s="88"/>
      <c r="X860" s="88"/>
      <c r="Y860" s="88"/>
      <c r="Z860" s="88"/>
      <c r="AA860" s="88"/>
      <c r="AB860" s="88"/>
      <c r="AC860" s="88"/>
      <c r="AD860" s="88"/>
      <c r="AE860" s="88"/>
    </row>
    <row r="861" spans="12:31" ht="15.75" customHeight="1" x14ac:dyDescent="0.3">
      <c r="L861" s="88"/>
      <c r="M861" s="88"/>
      <c r="N861" s="88"/>
      <c r="O861" s="88"/>
      <c r="P861" s="88"/>
      <c r="Q861" s="88"/>
      <c r="R861" s="88"/>
      <c r="S861" s="88"/>
      <c r="T861" s="88"/>
      <c r="U861" s="88"/>
      <c r="V861" s="88"/>
      <c r="W861" s="88"/>
      <c r="X861" s="88"/>
      <c r="Y861" s="88"/>
      <c r="Z861" s="88"/>
      <c r="AA861" s="88"/>
      <c r="AB861" s="88"/>
      <c r="AC861" s="88"/>
      <c r="AD861" s="88"/>
      <c r="AE861" s="88"/>
    </row>
    <row r="862" spans="12:31" ht="15.75" customHeight="1" x14ac:dyDescent="0.3">
      <c r="L862" s="88"/>
      <c r="M862" s="88"/>
      <c r="N862" s="88"/>
      <c r="O862" s="88"/>
      <c r="P862" s="88"/>
      <c r="Q862" s="88"/>
      <c r="R862" s="88"/>
      <c r="S862" s="88"/>
      <c r="T862" s="88"/>
      <c r="U862" s="88"/>
      <c r="V862" s="88"/>
      <c r="W862" s="88"/>
      <c r="X862" s="88"/>
      <c r="Y862" s="88"/>
      <c r="Z862" s="88"/>
      <c r="AA862" s="88"/>
      <c r="AB862" s="88"/>
      <c r="AC862" s="88"/>
      <c r="AD862" s="88"/>
      <c r="AE862" s="88"/>
    </row>
    <row r="863" spans="12:31" ht="15.75" customHeight="1" x14ac:dyDescent="0.3">
      <c r="L863" s="88"/>
      <c r="M863" s="88"/>
      <c r="N863" s="88"/>
      <c r="O863" s="88"/>
      <c r="P863" s="88"/>
      <c r="Q863" s="88"/>
      <c r="R863" s="88"/>
      <c r="S863" s="88"/>
      <c r="T863" s="88"/>
      <c r="U863" s="88"/>
      <c r="V863" s="88"/>
      <c r="W863" s="88"/>
      <c r="X863" s="88"/>
      <c r="Y863" s="88"/>
      <c r="Z863" s="88"/>
      <c r="AA863" s="88"/>
      <c r="AB863" s="88"/>
      <c r="AC863" s="88"/>
      <c r="AD863" s="88"/>
      <c r="AE863" s="88"/>
    </row>
    <row r="864" spans="12:31" ht="15.75" customHeight="1" x14ac:dyDescent="0.3">
      <c r="L864" s="88"/>
      <c r="M864" s="88"/>
      <c r="N864" s="88"/>
      <c r="O864" s="88"/>
      <c r="P864" s="88"/>
      <c r="Q864" s="88"/>
      <c r="R864" s="88"/>
      <c r="S864" s="88"/>
      <c r="T864" s="88"/>
      <c r="U864" s="88"/>
      <c r="V864" s="88"/>
      <c r="W864" s="88"/>
      <c r="X864" s="88"/>
      <c r="Y864" s="88"/>
      <c r="Z864" s="88"/>
      <c r="AA864" s="88"/>
      <c r="AB864" s="88"/>
      <c r="AC864" s="88"/>
      <c r="AD864" s="88"/>
      <c r="AE864" s="88"/>
    </row>
    <row r="865" spans="12:31" ht="15.75" customHeight="1" x14ac:dyDescent="0.3">
      <c r="L865" s="88"/>
      <c r="M865" s="88"/>
      <c r="N865" s="88"/>
      <c r="O865" s="88"/>
      <c r="P865" s="88"/>
      <c r="Q865" s="88"/>
      <c r="R865" s="88"/>
      <c r="S865" s="88"/>
      <c r="T865" s="88"/>
      <c r="U865" s="88"/>
      <c r="V865" s="88"/>
      <c r="W865" s="88"/>
      <c r="X865" s="88"/>
      <c r="Y865" s="88"/>
      <c r="Z865" s="88"/>
      <c r="AA865" s="88"/>
      <c r="AB865" s="88"/>
      <c r="AC865" s="88"/>
      <c r="AD865" s="88"/>
      <c r="AE865" s="88"/>
    </row>
    <row r="866" spans="12:31" ht="15.75" customHeight="1" x14ac:dyDescent="0.3">
      <c r="L866" s="88"/>
      <c r="M866" s="88"/>
      <c r="N866" s="88"/>
      <c r="O866" s="88"/>
      <c r="P866" s="88"/>
      <c r="Q866" s="88"/>
      <c r="R866" s="88"/>
      <c r="S866" s="88"/>
      <c r="T866" s="88"/>
      <c r="U866" s="88"/>
      <c r="V866" s="88"/>
      <c r="W866" s="88"/>
      <c r="X866" s="88"/>
      <c r="Y866" s="88"/>
      <c r="Z866" s="88"/>
      <c r="AA866" s="88"/>
      <c r="AB866" s="88"/>
      <c r="AC866" s="88"/>
      <c r="AD866" s="88"/>
      <c r="AE866" s="88"/>
    </row>
    <row r="867" spans="12:31" ht="15.75" customHeight="1" x14ac:dyDescent="0.3">
      <c r="L867" s="88"/>
      <c r="M867" s="88"/>
      <c r="N867" s="88"/>
      <c r="O867" s="88"/>
      <c r="P867" s="88"/>
      <c r="Q867" s="88"/>
      <c r="R867" s="88"/>
      <c r="S867" s="88"/>
      <c r="T867" s="88"/>
      <c r="U867" s="88"/>
      <c r="V867" s="88"/>
      <c r="W867" s="88"/>
      <c r="X867" s="88"/>
      <c r="Y867" s="88"/>
      <c r="Z867" s="88"/>
      <c r="AA867" s="88"/>
      <c r="AB867" s="88"/>
      <c r="AC867" s="88"/>
      <c r="AD867" s="88"/>
      <c r="AE867" s="88"/>
    </row>
    <row r="868" spans="12:31" ht="15.75" customHeight="1" x14ac:dyDescent="0.3">
      <c r="L868" s="88"/>
      <c r="M868" s="88"/>
      <c r="N868" s="88"/>
      <c r="O868" s="88"/>
      <c r="P868" s="88"/>
      <c r="Q868" s="88"/>
      <c r="R868" s="88"/>
      <c r="S868" s="88"/>
      <c r="T868" s="88"/>
      <c r="U868" s="88"/>
      <c r="V868" s="88"/>
      <c r="W868" s="88"/>
      <c r="X868" s="88"/>
      <c r="Y868" s="88"/>
      <c r="Z868" s="88"/>
      <c r="AA868" s="88"/>
      <c r="AB868" s="88"/>
      <c r="AC868" s="88"/>
      <c r="AD868" s="88"/>
      <c r="AE868" s="88"/>
    </row>
    <row r="869" spans="12:31" ht="15.75" customHeight="1" x14ac:dyDescent="0.3">
      <c r="L869" s="88"/>
      <c r="M869" s="88"/>
      <c r="N869" s="88"/>
      <c r="O869" s="88"/>
      <c r="P869" s="88"/>
      <c r="Q869" s="88"/>
      <c r="R869" s="88"/>
      <c r="S869" s="88"/>
      <c r="T869" s="88"/>
      <c r="U869" s="88"/>
      <c r="V869" s="88"/>
      <c r="W869" s="88"/>
      <c r="X869" s="88"/>
      <c r="Y869" s="88"/>
      <c r="Z869" s="88"/>
      <c r="AA869" s="88"/>
      <c r="AB869" s="88"/>
      <c r="AC869" s="88"/>
      <c r="AD869" s="88"/>
      <c r="AE869" s="88"/>
    </row>
    <row r="870" spans="12:31" ht="15.75" customHeight="1" x14ac:dyDescent="0.3">
      <c r="L870" s="88"/>
      <c r="M870" s="88"/>
      <c r="N870" s="88"/>
      <c r="O870" s="88"/>
      <c r="P870" s="88"/>
      <c r="Q870" s="88"/>
      <c r="R870" s="88"/>
      <c r="S870" s="88"/>
      <c r="T870" s="88"/>
      <c r="U870" s="88"/>
      <c r="V870" s="88"/>
      <c r="W870" s="88"/>
      <c r="X870" s="88"/>
      <c r="Y870" s="88"/>
      <c r="Z870" s="88"/>
      <c r="AA870" s="88"/>
      <c r="AB870" s="88"/>
      <c r="AC870" s="88"/>
      <c r="AD870" s="88"/>
      <c r="AE870" s="88"/>
    </row>
    <row r="871" spans="12:31" ht="15.75" customHeight="1" x14ac:dyDescent="0.3">
      <c r="L871" s="88"/>
      <c r="M871" s="88"/>
      <c r="N871" s="88"/>
      <c r="O871" s="88"/>
      <c r="P871" s="88"/>
      <c r="Q871" s="88"/>
      <c r="R871" s="88"/>
      <c r="S871" s="88"/>
      <c r="T871" s="88"/>
      <c r="U871" s="88"/>
      <c r="V871" s="88"/>
      <c r="W871" s="88"/>
      <c r="X871" s="88"/>
      <c r="Y871" s="88"/>
      <c r="Z871" s="88"/>
      <c r="AA871" s="88"/>
      <c r="AB871" s="88"/>
      <c r="AC871" s="88"/>
      <c r="AD871" s="88"/>
      <c r="AE871" s="88"/>
    </row>
    <row r="872" spans="12:31" ht="15.75" customHeight="1" x14ac:dyDescent="0.3">
      <c r="L872" s="88"/>
      <c r="M872" s="88"/>
      <c r="N872" s="88"/>
      <c r="O872" s="88"/>
      <c r="P872" s="88"/>
      <c r="Q872" s="88"/>
      <c r="R872" s="88"/>
      <c r="S872" s="88"/>
      <c r="T872" s="88"/>
      <c r="U872" s="88"/>
      <c r="V872" s="88"/>
      <c r="W872" s="88"/>
      <c r="X872" s="88"/>
      <c r="Y872" s="88"/>
      <c r="Z872" s="88"/>
      <c r="AA872" s="88"/>
      <c r="AB872" s="88"/>
      <c r="AC872" s="88"/>
      <c r="AD872" s="88"/>
      <c r="AE872" s="88"/>
    </row>
    <row r="873" spans="12:31" ht="15.75" customHeight="1" x14ac:dyDescent="0.3">
      <c r="L873" s="88"/>
      <c r="M873" s="88"/>
      <c r="N873" s="88"/>
      <c r="O873" s="88"/>
      <c r="P873" s="88"/>
      <c r="Q873" s="88"/>
      <c r="R873" s="88"/>
      <c r="S873" s="88"/>
      <c r="T873" s="88"/>
      <c r="U873" s="88"/>
      <c r="V873" s="88"/>
      <c r="W873" s="88"/>
      <c r="X873" s="88"/>
      <c r="Y873" s="88"/>
      <c r="Z873" s="88"/>
      <c r="AA873" s="88"/>
      <c r="AB873" s="88"/>
      <c r="AC873" s="88"/>
      <c r="AD873" s="88"/>
      <c r="AE873" s="88"/>
    </row>
    <row r="874" spans="12:31" ht="15.75" customHeight="1" x14ac:dyDescent="0.3">
      <c r="L874" s="88"/>
      <c r="M874" s="88"/>
      <c r="N874" s="88"/>
      <c r="O874" s="88"/>
      <c r="P874" s="88"/>
      <c r="Q874" s="88"/>
      <c r="R874" s="88"/>
      <c r="S874" s="88"/>
      <c r="T874" s="88"/>
      <c r="U874" s="88"/>
      <c r="V874" s="88"/>
      <c r="W874" s="88"/>
      <c r="X874" s="88"/>
      <c r="Y874" s="88"/>
      <c r="Z874" s="88"/>
      <c r="AA874" s="88"/>
      <c r="AB874" s="88"/>
      <c r="AC874" s="88"/>
      <c r="AD874" s="88"/>
      <c r="AE874" s="88"/>
    </row>
    <row r="875" spans="12:31" ht="15.75" customHeight="1" x14ac:dyDescent="0.3">
      <c r="L875" s="88"/>
      <c r="M875" s="88"/>
      <c r="N875" s="88"/>
      <c r="O875" s="88"/>
      <c r="P875" s="88"/>
      <c r="Q875" s="88"/>
      <c r="R875" s="88"/>
      <c r="S875" s="88"/>
      <c r="T875" s="88"/>
      <c r="U875" s="88"/>
      <c r="V875" s="88"/>
      <c r="W875" s="88"/>
      <c r="X875" s="88"/>
      <c r="Y875" s="88"/>
      <c r="Z875" s="88"/>
      <c r="AA875" s="88"/>
      <c r="AB875" s="88"/>
      <c r="AC875" s="88"/>
      <c r="AD875" s="88"/>
      <c r="AE875" s="88"/>
    </row>
    <row r="876" spans="12:31" ht="15.75" customHeight="1" x14ac:dyDescent="0.3">
      <c r="L876" s="88"/>
      <c r="M876" s="88"/>
      <c r="N876" s="88"/>
      <c r="O876" s="88"/>
      <c r="P876" s="88"/>
      <c r="Q876" s="88"/>
      <c r="R876" s="88"/>
      <c r="S876" s="88"/>
      <c r="T876" s="88"/>
      <c r="U876" s="88"/>
      <c r="V876" s="88"/>
      <c r="W876" s="88"/>
      <c r="X876" s="88"/>
      <c r="Y876" s="88"/>
      <c r="Z876" s="88"/>
      <c r="AA876" s="88"/>
      <c r="AB876" s="88"/>
      <c r="AC876" s="88"/>
      <c r="AD876" s="88"/>
      <c r="AE876" s="88"/>
    </row>
    <row r="877" spans="12:31" ht="15.75" customHeight="1" x14ac:dyDescent="0.3">
      <c r="L877" s="88"/>
      <c r="M877" s="88"/>
      <c r="N877" s="88"/>
      <c r="O877" s="88"/>
      <c r="P877" s="88"/>
      <c r="Q877" s="88"/>
      <c r="R877" s="88"/>
      <c r="S877" s="88"/>
      <c r="T877" s="88"/>
      <c r="U877" s="88"/>
      <c r="V877" s="88"/>
      <c r="W877" s="88"/>
      <c r="X877" s="88"/>
      <c r="Y877" s="88"/>
      <c r="Z877" s="88"/>
      <c r="AA877" s="88"/>
      <c r="AB877" s="88"/>
      <c r="AC877" s="88"/>
      <c r="AD877" s="88"/>
      <c r="AE877" s="88"/>
    </row>
    <row r="878" spans="12:31" ht="15.75" customHeight="1" x14ac:dyDescent="0.3">
      <c r="L878" s="88"/>
      <c r="M878" s="88"/>
      <c r="N878" s="88"/>
      <c r="O878" s="88"/>
      <c r="P878" s="88"/>
      <c r="Q878" s="88"/>
      <c r="R878" s="88"/>
      <c r="S878" s="88"/>
      <c r="T878" s="88"/>
      <c r="U878" s="88"/>
      <c r="V878" s="88"/>
      <c r="W878" s="88"/>
      <c r="X878" s="88"/>
      <c r="Y878" s="88"/>
      <c r="Z878" s="88"/>
      <c r="AA878" s="88"/>
      <c r="AB878" s="88"/>
      <c r="AC878" s="88"/>
      <c r="AD878" s="88"/>
      <c r="AE878" s="88"/>
    </row>
    <row r="879" spans="12:31" ht="15.75" customHeight="1" x14ac:dyDescent="0.3">
      <c r="L879" s="88"/>
      <c r="M879" s="88"/>
      <c r="N879" s="88"/>
      <c r="O879" s="88"/>
      <c r="P879" s="88"/>
      <c r="Q879" s="88"/>
      <c r="R879" s="88"/>
      <c r="S879" s="88"/>
      <c r="T879" s="88"/>
      <c r="U879" s="88"/>
      <c r="V879" s="88"/>
      <c r="W879" s="88"/>
      <c r="X879" s="88"/>
      <c r="Y879" s="88"/>
      <c r="Z879" s="88"/>
      <c r="AA879" s="88"/>
      <c r="AB879" s="88"/>
      <c r="AC879" s="88"/>
      <c r="AD879" s="88"/>
      <c r="AE879" s="88"/>
    </row>
    <row r="880" spans="12:31" ht="15.75" customHeight="1" x14ac:dyDescent="0.3">
      <c r="L880" s="88"/>
      <c r="M880" s="88"/>
      <c r="N880" s="88"/>
      <c r="O880" s="88"/>
      <c r="P880" s="88"/>
      <c r="Q880" s="88"/>
      <c r="R880" s="88"/>
      <c r="S880" s="88"/>
      <c r="T880" s="88"/>
      <c r="U880" s="88"/>
      <c r="V880" s="88"/>
      <c r="W880" s="88"/>
      <c r="X880" s="88"/>
      <c r="Y880" s="88"/>
      <c r="Z880" s="88"/>
      <c r="AA880" s="88"/>
      <c r="AB880" s="88"/>
      <c r="AC880" s="88"/>
      <c r="AD880" s="88"/>
      <c r="AE880" s="88"/>
    </row>
    <row r="881" spans="12:31" ht="15.75" customHeight="1" x14ac:dyDescent="0.3">
      <c r="L881" s="88"/>
      <c r="M881" s="88"/>
      <c r="N881" s="88"/>
      <c r="O881" s="88"/>
      <c r="P881" s="88"/>
      <c r="Q881" s="88"/>
      <c r="R881" s="88"/>
      <c r="S881" s="88"/>
      <c r="T881" s="88"/>
      <c r="U881" s="88"/>
      <c r="V881" s="88"/>
      <c r="W881" s="88"/>
      <c r="X881" s="88"/>
      <c r="Y881" s="88"/>
      <c r="Z881" s="88"/>
      <c r="AA881" s="88"/>
      <c r="AB881" s="88"/>
      <c r="AC881" s="88"/>
      <c r="AD881" s="88"/>
      <c r="AE881" s="88"/>
    </row>
    <row r="882" spans="12:31" ht="15.75" customHeight="1" x14ac:dyDescent="0.3">
      <c r="L882" s="88"/>
      <c r="M882" s="88"/>
      <c r="N882" s="88"/>
      <c r="O882" s="88"/>
      <c r="P882" s="88"/>
      <c r="Q882" s="88"/>
      <c r="R882" s="88"/>
      <c r="S882" s="88"/>
      <c r="T882" s="88"/>
      <c r="U882" s="88"/>
      <c r="V882" s="88"/>
      <c r="W882" s="88"/>
      <c r="X882" s="88"/>
      <c r="Y882" s="88"/>
      <c r="Z882" s="88"/>
      <c r="AA882" s="88"/>
      <c r="AB882" s="88"/>
      <c r="AC882" s="88"/>
      <c r="AD882" s="88"/>
      <c r="AE882" s="88"/>
    </row>
    <row r="883" spans="12:31" ht="15.75" customHeight="1" x14ac:dyDescent="0.3">
      <c r="L883" s="88"/>
      <c r="M883" s="88"/>
      <c r="N883" s="88"/>
      <c r="O883" s="88"/>
      <c r="P883" s="88"/>
      <c r="Q883" s="88"/>
      <c r="R883" s="88"/>
      <c r="S883" s="88"/>
      <c r="T883" s="88"/>
      <c r="U883" s="88"/>
      <c r="V883" s="88"/>
      <c r="W883" s="88"/>
      <c r="X883" s="88"/>
      <c r="Y883" s="88"/>
      <c r="Z883" s="88"/>
      <c r="AA883" s="88"/>
      <c r="AB883" s="88"/>
      <c r="AC883" s="88"/>
      <c r="AD883" s="88"/>
      <c r="AE883" s="88"/>
    </row>
    <row r="884" spans="12:31" ht="15.75" customHeight="1" x14ac:dyDescent="0.3">
      <c r="L884" s="88"/>
      <c r="M884" s="88"/>
      <c r="N884" s="88"/>
      <c r="O884" s="88"/>
      <c r="P884" s="88"/>
      <c r="Q884" s="88"/>
      <c r="R884" s="88"/>
      <c r="S884" s="88"/>
      <c r="T884" s="88"/>
      <c r="U884" s="88"/>
      <c r="V884" s="88"/>
      <c r="W884" s="88"/>
      <c r="X884" s="88"/>
      <c r="Y884" s="88"/>
      <c r="Z884" s="88"/>
      <c r="AA884" s="88"/>
      <c r="AB884" s="88"/>
      <c r="AC884" s="88"/>
      <c r="AD884" s="88"/>
      <c r="AE884" s="88"/>
    </row>
    <row r="885" spans="12:31" ht="15.75" customHeight="1" x14ac:dyDescent="0.3">
      <c r="L885" s="88"/>
      <c r="M885" s="88"/>
      <c r="N885" s="88"/>
      <c r="O885" s="88"/>
      <c r="P885" s="88"/>
      <c r="Q885" s="88"/>
      <c r="R885" s="88"/>
      <c r="S885" s="88"/>
      <c r="T885" s="88"/>
      <c r="U885" s="88"/>
      <c r="V885" s="88"/>
      <c r="W885" s="88"/>
      <c r="X885" s="88"/>
      <c r="Y885" s="88"/>
      <c r="Z885" s="88"/>
      <c r="AA885" s="88"/>
      <c r="AB885" s="88"/>
      <c r="AC885" s="88"/>
      <c r="AD885" s="88"/>
      <c r="AE885" s="88"/>
    </row>
    <row r="886" spans="12:31" ht="15.75" customHeight="1" x14ac:dyDescent="0.3">
      <c r="L886" s="88"/>
      <c r="M886" s="88"/>
      <c r="N886" s="88"/>
      <c r="O886" s="88"/>
      <c r="P886" s="88"/>
      <c r="Q886" s="88"/>
      <c r="R886" s="88"/>
      <c r="S886" s="88"/>
      <c r="T886" s="88"/>
      <c r="U886" s="88"/>
      <c r="V886" s="88"/>
      <c r="W886" s="88"/>
      <c r="X886" s="88"/>
      <c r="Y886" s="88"/>
      <c r="Z886" s="88"/>
      <c r="AA886" s="88"/>
      <c r="AB886" s="88"/>
      <c r="AC886" s="88"/>
      <c r="AD886" s="88"/>
      <c r="AE886" s="88"/>
    </row>
    <row r="887" spans="12:31" ht="15.75" customHeight="1" x14ac:dyDescent="0.3">
      <c r="L887" s="88"/>
      <c r="M887" s="88"/>
      <c r="N887" s="88"/>
      <c r="O887" s="88"/>
      <c r="P887" s="88"/>
      <c r="Q887" s="88"/>
      <c r="R887" s="88"/>
      <c r="S887" s="88"/>
      <c r="T887" s="88"/>
      <c r="U887" s="88"/>
      <c r="V887" s="88"/>
      <c r="W887" s="88"/>
      <c r="X887" s="88"/>
      <c r="Y887" s="88"/>
      <c r="Z887" s="88"/>
      <c r="AA887" s="88"/>
      <c r="AB887" s="88"/>
      <c r="AC887" s="88"/>
      <c r="AD887" s="88"/>
      <c r="AE887" s="88"/>
    </row>
    <row r="888" spans="12:31" ht="15.75" customHeight="1" x14ac:dyDescent="0.3">
      <c r="L888" s="88"/>
      <c r="M888" s="88"/>
      <c r="N888" s="88"/>
      <c r="O888" s="88"/>
      <c r="P888" s="88"/>
      <c r="Q888" s="88"/>
      <c r="R888" s="88"/>
      <c r="S888" s="88"/>
      <c r="T888" s="88"/>
      <c r="U888" s="88"/>
      <c r="V888" s="88"/>
      <c r="W888" s="88"/>
      <c r="X888" s="88"/>
      <c r="Y888" s="88"/>
      <c r="Z888" s="88"/>
      <c r="AA888" s="88"/>
      <c r="AB888" s="88"/>
      <c r="AC888" s="88"/>
      <c r="AD888" s="88"/>
      <c r="AE888" s="88"/>
    </row>
    <row r="889" spans="12:31" ht="15.75" customHeight="1" x14ac:dyDescent="0.3">
      <c r="L889" s="88"/>
      <c r="M889" s="88"/>
      <c r="N889" s="88"/>
      <c r="O889" s="88"/>
      <c r="P889" s="88"/>
      <c r="Q889" s="88"/>
      <c r="R889" s="88"/>
      <c r="S889" s="88"/>
      <c r="T889" s="88"/>
      <c r="U889" s="88"/>
      <c r="V889" s="88"/>
      <c r="W889" s="88"/>
      <c r="X889" s="88"/>
      <c r="Y889" s="88"/>
      <c r="Z889" s="88"/>
      <c r="AA889" s="88"/>
      <c r="AB889" s="88"/>
      <c r="AC889" s="88"/>
      <c r="AD889" s="88"/>
      <c r="AE889" s="88"/>
    </row>
    <row r="890" spans="12:31" ht="15.75" customHeight="1" x14ac:dyDescent="0.3">
      <c r="L890" s="88"/>
      <c r="M890" s="88"/>
      <c r="N890" s="88"/>
      <c r="O890" s="88"/>
      <c r="P890" s="88"/>
      <c r="Q890" s="88"/>
      <c r="R890" s="88"/>
      <c r="S890" s="88"/>
      <c r="T890" s="88"/>
      <c r="U890" s="88"/>
      <c r="V890" s="88"/>
      <c r="W890" s="88"/>
      <c r="X890" s="88"/>
      <c r="Y890" s="88"/>
      <c r="Z890" s="88"/>
      <c r="AA890" s="88"/>
      <c r="AB890" s="88"/>
      <c r="AC890" s="88"/>
      <c r="AD890" s="88"/>
      <c r="AE890" s="88"/>
    </row>
    <row r="891" spans="12:31" ht="15.75" customHeight="1" x14ac:dyDescent="0.3">
      <c r="L891" s="88"/>
      <c r="M891" s="88"/>
      <c r="N891" s="88"/>
      <c r="O891" s="88"/>
      <c r="P891" s="88"/>
      <c r="Q891" s="88"/>
      <c r="R891" s="88"/>
      <c r="S891" s="88"/>
      <c r="T891" s="88"/>
      <c r="U891" s="88"/>
      <c r="V891" s="88"/>
      <c r="W891" s="88"/>
      <c r="X891" s="88"/>
      <c r="Y891" s="88"/>
      <c r="Z891" s="88"/>
      <c r="AA891" s="88"/>
      <c r="AB891" s="88"/>
      <c r="AC891" s="88"/>
      <c r="AD891" s="88"/>
      <c r="AE891" s="88"/>
    </row>
    <row r="892" spans="12:31" ht="15.75" customHeight="1" x14ac:dyDescent="0.3">
      <c r="L892" s="88"/>
      <c r="M892" s="88"/>
      <c r="N892" s="88"/>
      <c r="O892" s="88"/>
      <c r="P892" s="88"/>
      <c r="Q892" s="88"/>
      <c r="R892" s="88"/>
      <c r="S892" s="88"/>
      <c r="T892" s="88"/>
      <c r="U892" s="88"/>
      <c r="V892" s="88"/>
      <c r="W892" s="88"/>
      <c r="X892" s="88"/>
      <c r="Y892" s="88"/>
      <c r="Z892" s="88"/>
      <c r="AA892" s="88"/>
      <c r="AB892" s="88"/>
      <c r="AC892" s="88"/>
      <c r="AD892" s="88"/>
      <c r="AE892" s="88"/>
    </row>
    <row r="893" spans="12:31" ht="15.75" customHeight="1" x14ac:dyDescent="0.3">
      <c r="L893" s="88"/>
      <c r="M893" s="88"/>
      <c r="N893" s="88"/>
      <c r="O893" s="88"/>
      <c r="P893" s="88"/>
      <c r="Q893" s="88"/>
      <c r="R893" s="88"/>
      <c r="S893" s="88"/>
      <c r="T893" s="88"/>
      <c r="U893" s="88"/>
      <c r="V893" s="88"/>
      <c r="W893" s="88"/>
      <c r="X893" s="88"/>
      <c r="Y893" s="88"/>
      <c r="Z893" s="88"/>
      <c r="AA893" s="88"/>
      <c r="AB893" s="88"/>
      <c r="AC893" s="88"/>
      <c r="AD893" s="88"/>
      <c r="AE893" s="88"/>
    </row>
    <row r="894" spans="12:31" ht="15.75" customHeight="1" x14ac:dyDescent="0.3">
      <c r="L894" s="88"/>
      <c r="M894" s="88"/>
      <c r="N894" s="88"/>
      <c r="O894" s="88"/>
      <c r="P894" s="88"/>
      <c r="Q894" s="88"/>
      <c r="R894" s="88"/>
      <c r="S894" s="88"/>
      <c r="T894" s="88"/>
      <c r="U894" s="88"/>
      <c r="V894" s="88"/>
      <c r="W894" s="88"/>
      <c r="X894" s="88"/>
      <c r="Y894" s="88"/>
      <c r="Z894" s="88"/>
      <c r="AA894" s="88"/>
      <c r="AB894" s="88"/>
      <c r="AC894" s="88"/>
      <c r="AD894" s="88"/>
      <c r="AE894" s="88"/>
    </row>
    <row r="895" spans="12:31" ht="15.75" customHeight="1" x14ac:dyDescent="0.3">
      <c r="L895" s="88"/>
      <c r="M895" s="88"/>
      <c r="N895" s="88"/>
      <c r="O895" s="88"/>
      <c r="P895" s="88"/>
      <c r="Q895" s="88"/>
      <c r="R895" s="88"/>
      <c r="S895" s="88"/>
      <c r="T895" s="88"/>
      <c r="U895" s="88"/>
      <c r="V895" s="88"/>
      <c r="W895" s="88"/>
      <c r="X895" s="88"/>
      <c r="Y895" s="88"/>
      <c r="Z895" s="88"/>
      <c r="AA895" s="88"/>
      <c r="AB895" s="88"/>
      <c r="AC895" s="88"/>
      <c r="AD895" s="88"/>
      <c r="AE895" s="88"/>
    </row>
    <row r="896" spans="12:31" ht="15.75" customHeight="1" x14ac:dyDescent="0.3">
      <c r="L896" s="88"/>
      <c r="M896" s="88"/>
      <c r="N896" s="88"/>
      <c r="O896" s="88"/>
      <c r="P896" s="88"/>
      <c r="Q896" s="88"/>
      <c r="R896" s="88"/>
      <c r="S896" s="88"/>
      <c r="T896" s="88"/>
      <c r="U896" s="88"/>
      <c r="V896" s="88"/>
      <c r="W896" s="88"/>
      <c r="X896" s="88"/>
      <c r="Y896" s="88"/>
      <c r="Z896" s="88"/>
      <c r="AA896" s="88"/>
      <c r="AB896" s="88"/>
      <c r="AC896" s="88"/>
      <c r="AD896" s="88"/>
      <c r="AE896" s="88"/>
    </row>
    <row r="897" spans="12:31" ht="15.75" customHeight="1" x14ac:dyDescent="0.3">
      <c r="L897" s="88"/>
      <c r="M897" s="88"/>
      <c r="N897" s="88"/>
      <c r="O897" s="88"/>
      <c r="P897" s="88"/>
      <c r="Q897" s="88"/>
      <c r="R897" s="88"/>
      <c r="S897" s="88"/>
      <c r="T897" s="88"/>
      <c r="U897" s="88"/>
      <c r="V897" s="88"/>
      <c r="W897" s="88"/>
      <c r="X897" s="88"/>
      <c r="Y897" s="88"/>
      <c r="Z897" s="88"/>
      <c r="AA897" s="88"/>
      <c r="AB897" s="88"/>
      <c r="AC897" s="88"/>
      <c r="AD897" s="88"/>
      <c r="AE897" s="88"/>
    </row>
    <row r="898" spans="12:31" ht="15.75" customHeight="1" x14ac:dyDescent="0.3">
      <c r="L898" s="88"/>
      <c r="M898" s="88"/>
      <c r="N898" s="88"/>
      <c r="O898" s="88"/>
      <c r="P898" s="88"/>
      <c r="Q898" s="88"/>
      <c r="R898" s="88"/>
      <c r="S898" s="88"/>
      <c r="T898" s="88"/>
      <c r="U898" s="88"/>
      <c r="V898" s="88"/>
      <c r="W898" s="88"/>
      <c r="X898" s="88"/>
      <c r="Y898" s="88"/>
      <c r="Z898" s="88"/>
      <c r="AA898" s="88"/>
      <c r="AB898" s="88"/>
      <c r="AC898" s="88"/>
      <c r="AD898" s="88"/>
      <c r="AE898" s="88"/>
    </row>
    <row r="899" spans="12:31" ht="15.75" customHeight="1" x14ac:dyDescent="0.3">
      <c r="L899" s="88"/>
      <c r="M899" s="88"/>
      <c r="N899" s="88"/>
      <c r="O899" s="88"/>
      <c r="P899" s="88"/>
      <c r="Q899" s="88"/>
      <c r="R899" s="88"/>
      <c r="S899" s="88"/>
      <c r="T899" s="88"/>
      <c r="U899" s="88"/>
      <c r="V899" s="88"/>
      <c r="W899" s="88"/>
      <c r="X899" s="88"/>
      <c r="Y899" s="88"/>
      <c r="Z899" s="88"/>
      <c r="AA899" s="88"/>
      <c r="AB899" s="88"/>
      <c r="AC899" s="88"/>
      <c r="AD899" s="88"/>
      <c r="AE899" s="88"/>
    </row>
    <row r="900" spans="12:31" ht="15.75" customHeight="1" x14ac:dyDescent="0.3">
      <c r="L900" s="88"/>
      <c r="M900" s="88"/>
      <c r="N900" s="88"/>
      <c r="O900" s="88"/>
      <c r="P900" s="88"/>
      <c r="Q900" s="88"/>
      <c r="R900" s="88"/>
      <c r="S900" s="88"/>
      <c r="T900" s="88"/>
      <c r="U900" s="88"/>
      <c r="V900" s="88"/>
      <c r="W900" s="88"/>
      <c r="X900" s="88"/>
      <c r="Y900" s="88"/>
      <c r="Z900" s="88"/>
      <c r="AA900" s="88"/>
      <c r="AB900" s="88"/>
      <c r="AC900" s="88"/>
      <c r="AD900" s="88"/>
      <c r="AE900" s="88"/>
    </row>
    <row r="901" spans="12:31" ht="15.75" customHeight="1" x14ac:dyDescent="0.3">
      <c r="L901" s="88"/>
      <c r="M901" s="88"/>
      <c r="N901" s="88"/>
      <c r="O901" s="88"/>
      <c r="P901" s="88"/>
      <c r="Q901" s="88"/>
      <c r="R901" s="88"/>
      <c r="S901" s="88"/>
      <c r="T901" s="88"/>
      <c r="U901" s="88"/>
      <c r="V901" s="88"/>
      <c r="W901" s="88"/>
      <c r="X901" s="88"/>
      <c r="Y901" s="88"/>
      <c r="Z901" s="88"/>
      <c r="AA901" s="88"/>
      <c r="AB901" s="88"/>
      <c r="AC901" s="88"/>
      <c r="AD901" s="88"/>
      <c r="AE901" s="88"/>
    </row>
    <row r="902" spans="12:31" ht="15.75" customHeight="1" x14ac:dyDescent="0.3">
      <c r="L902" s="88"/>
      <c r="M902" s="88"/>
      <c r="N902" s="88"/>
      <c r="O902" s="88"/>
      <c r="P902" s="88"/>
      <c r="Q902" s="88"/>
      <c r="R902" s="88"/>
      <c r="S902" s="88"/>
      <c r="T902" s="88"/>
      <c r="U902" s="88"/>
      <c r="V902" s="88"/>
      <c r="W902" s="88"/>
      <c r="X902" s="88"/>
      <c r="Y902" s="88"/>
      <c r="Z902" s="88"/>
      <c r="AA902" s="88"/>
      <c r="AB902" s="88"/>
      <c r="AC902" s="88"/>
      <c r="AD902" s="88"/>
      <c r="AE902" s="88"/>
    </row>
    <row r="903" spans="12:31" ht="15.75" customHeight="1" x14ac:dyDescent="0.3">
      <c r="L903" s="88"/>
      <c r="M903" s="88"/>
      <c r="N903" s="88"/>
      <c r="O903" s="88"/>
      <c r="P903" s="88"/>
      <c r="Q903" s="88"/>
      <c r="R903" s="88"/>
      <c r="S903" s="88"/>
      <c r="T903" s="88"/>
      <c r="U903" s="88"/>
      <c r="V903" s="88"/>
      <c r="W903" s="88"/>
      <c r="X903" s="88"/>
      <c r="Y903" s="88"/>
      <c r="Z903" s="88"/>
      <c r="AA903" s="88"/>
      <c r="AB903" s="88"/>
      <c r="AC903" s="88"/>
      <c r="AD903" s="88"/>
      <c r="AE903" s="88"/>
    </row>
    <row r="904" spans="12:31" ht="15.75" customHeight="1" x14ac:dyDescent="0.3">
      <c r="L904" s="88"/>
      <c r="M904" s="88"/>
      <c r="N904" s="88"/>
      <c r="O904" s="88"/>
      <c r="P904" s="88"/>
      <c r="Q904" s="88"/>
      <c r="R904" s="88"/>
      <c r="S904" s="88"/>
      <c r="T904" s="88"/>
      <c r="U904" s="88"/>
      <c r="V904" s="88"/>
      <c r="W904" s="88"/>
      <c r="X904" s="88"/>
      <c r="Y904" s="88"/>
      <c r="Z904" s="88"/>
      <c r="AA904" s="88"/>
      <c r="AB904" s="88"/>
      <c r="AC904" s="88"/>
      <c r="AD904" s="88"/>
      <c r="AE904" s="88"/>
    </row>
    <row r="905" spans="12:31" ht="15.75" customHeight="1" x14ac:dyDescent="0.3">
      <c r="L905" s="88"/>
      <c r="M905" s="88"/>
      <c r="N905" s="88"/>
      <c r="O905" s="88"/>
      <c r="P905" s="88"/>
      <c r="Q905" s="88"/>
      <c r="R905" s="88"/>
      <c r="S905" s="88"/>
      <c r="T905" s="88"/>
      <c r="U905" s="88"/>
      <c r="V905" s="88"/>
      <c r="W905" s="88"/>
      <c r="X905" s="88"/>
      <c r="Y905" s="88"/>
      <c r="Z905" s="88"/>
      <c r="AA905" s="88"/>
      <c r="AB905" s="88"/>
      <c r="AC905" s="88"/>
      <c r="AD905" s="88"/>
      <c r="AE905" s="88"/>
    </row>
    <row r="906" spans="12:31" ht="15.75" customHeight="1" x14ac:dyDescent="0.3">
      <c r="L906" s="88"/>
      <c r="M906" s="88"/>
      <c r="N906" s="88"/>
      <c r="O906" s="88"/>
      <c r="P906" s="88"/>
      <c r="Q906" s="88"/>
      <c r="R906" s="88"/>
      <c r="S906" s="88"/>
      <c r="T906" s="88"/>
      <c r="U906" s="88"/>
      <c r="V906" s="88"/>
      <c r="W906" s="88"/>
      <c r="X906" s="88"/>
      <c r="Y906" s="88"/>
      <c r="Z906" s="88"/>
      <c r="AA906" s="88"/>
      <c r="AB906" s="88"/>
      <c r="AC906" s="88"/>
      <c r="AD906" s="88"/>
      <c r="AE906" s="88"/>
    </row>
    <row r="907" spans="12:31" ht="15.75" customHeight="1" x14ac:dyDescent="0.3">
      <c r="L907" s="88"/>
      <c r="M907" s="88"/>
      <c r="N907" s="88"/>
      <c r="O907" s="88"/>
      <c r="P907" s="88"/>
      <c r="Q907" s="88"/>
      <c r="R907" s="88"/>
      <c r="S907" s="88"/>
      <c r="T907" s="88"/>
      <c r="U907" s="88"/>
      <c r="V907" s="88"/>
      <c r="W907" s="88"/>
      <c r="X907" s="88"/>
      <c r="Y907" s="88"/>
      <c r="Z907" s="88"/>
      <c r="AA907" s="88"/>
      <c r="AB907" s="88"/>
      <c r="AC907" s="88"/>
      <c r="AD907" s="88"/>
      <c r="AE907" s="88"/>
    </row>
    <row r="908" spans="12:31" ht="15.75" customHeight="1" x14ac:dyDescent="0.3">
      <c r="L908" s="88"/>
      <c r="M908" s="88"/>
      <c r="N908" s="88"/>
      <c r="O908" s="88"/>
      <c r="P908" s="88"/>
      <c r="Q908" s="88"/>
      <c r="R908" s="88"/>
      <c r="S908" s="88"/>
      <c r="T908" s="88"/>
      <c r="U908" s="88"/>
      <c r="V908" s="88"/>
      <c r="W908" s="88"/>
      <c r="X908" s="88"/>
      <c r="Y908" s="88"/>
      <c r="Z908" s="88"/>
      <c r="AA908" s="88"/>
      <c r="AB908" s="88"/>
      <c r="AC908" s="88"/>
      <c r="AD908" s="88"/>
      <c r="AE908" s="88"/>
    </row>
    <row r="909" spans="12:31" ht="15.75" customHeight="1" x14ac:dyDescent="0.3">
      <c r="L909" s="88"/>
      <c r="M909" s="88"/>
      <c r="N909" s="88"/>
      <c r="O909" s="88"/>
      <c r="P909" s="88"/>
      <c r="Q909" s="88"/>
      <c r="R909" s="88"/>
      <c r="S909" s="88"/>
      <c r="T909" s="88"/>
      <c r="U909" s="88"/>
      <c r="V909" s="88"/>
      <c r="W909" s="88"/>
      <c r="X909" s="88"/>
      <c r="Y909" s="88"/>
      <c r="Z909" s="88"/>
      <c r="AA909" s="88"/>
      <c r="AB909" s="88"/>
      <c r="AC909" s="88"/>
      <c r="AD909" s="88"/>
      <c r="AE909" s="88"/>
    </row>
    <row r="910" spans="12:31" ht="15.75" customHeight="1" x14ac:dyDescent="0.3">
      <c r="L910" s="88"/>
      <c r="M910" s="88"/>
      <c r="N910" s="88"/>
      <c r="O910" s="88"/>
      <c r="P910" s="88"/>
      <c r="Q910" s="88"/>
      <c r="R910" s="88"/>
      <c r="S910" s="88"/>
      <c r="T910" s="88"/>
      <c r="U910" s="88"/>
      <c r="V910" s="88"/>
      <c r="W910" s="88"/>
      <c r="X910" s="88"/>
      <c r="Y910" s="88"/>
      <c r="Z910" s="88"/>
      <c r="AA910" s="88"/>
      <c r="AB910" s="88"/>
      <c r="AC910" s="88"/>
      <c r="AD910" s="88"/>
      <c r="AE910" s="88"/>
    </row>
    <row r="911" spans="12:31" ht="15.75" customHeight="1" x14ac:dyDescent="0.3">
      <c r="L911" s="88"/>
      <c r="M911" s="88"/>
      <c r="N911" s="88"/>
      <c r="O911" s="88"/>
      <c r="P911" s="88"/>
      <c r="Q911" s="88"/>
      <c r="R911" s="88"/>
      <c r="S911" s="88"/>
      <c r="T911" s="88"/>
      <c r="U911" s="88"/>
      <c r="V911" s="88"/>
      <c r="W911" s="88"/>
      <c r="X911" s="88"/>
      <c r="Y911" s="88"/>
      <c r="Z911" s="88"/>
      <c r="AA911" s="88"/>
      <c r="AB911" s="88"/>
      <c r="AC911" s="88"/>
      <c r="AD911" s="88"/>
      <c r="AE911" s="88"/>
    </row>
    <row r="912" spans="12:31" ht="15.75" customHeight="1" x14ac:dyDescent="0.3">
      <c r="L912" s="88"/>
      <c r="M912" s="88"/>
      <c r="N912" s="88"/>
      <c r="O912" s="88"/>
      <c r="P912" s="88"/>
      <c r="Q912" s="88"/>
      <c r="R912" s="88"/>
      <c r="S912" s="88"/>
      <c r="T912" s="88"/>
      <c r="U912" s="88"/>
      <c r="V912" s="88"/>
      <c r="W912" s="88"/>
      <c r="X912" s="88"/>
      <c r="Y912" s="88"/>
      <c r="Z912" s="88"/>
      <c r="AA912" s="88"/>
      <c r="AB912" s="88"/>
      <c r="AC912" s="88"/>
      <c r="AD912" s="88"/>
      <c r="AE912" s="88"/>
    </row>
    <row r="913" spans="12:31" ht="15.75" customHeight="1" x14ac:dyDescent="0.3">
      <c r="L913" s="88"/>
      <c r="M913" s="88"/>
      <c r="N913" s="88"/>
      <c r="O913" s="88"/>
      <c r="P913" s="88"/>
      <c r="Q913" s="88"/>
      <c r="R913" s="88"/>
      <c r="S913" s="88"/>
      <c r="T913" s="88"/>
      <c r="U913" s="88"/>
      <c r="V913" s="88"/>
      <c r="W913" s="88"/>
      <c r="X913" s="88"/>
      <c r="Y913" s="88"/>
      <c r="Z913" s="88"/>
      <c r="AA913" s="88"/>
      <c r="AB913" s="88"/>
      <c r="AC913" s="88"/>
      <c r="AD913" s="88"/>
      <c r="AE913" s="88"/>
    </row>
    <row r="914" spans="12:31" ht="15.75" customHeight="1" x14ac:dyDescent="0.3">
      <c r="L914" s="88"/>
      <c r="M914" s="88"/>
      <c r="N914" s="88"/>
      <c r="O914" s="88"/>
      <c r="P914" s="88"/>
      <c r="Q914" s="88"/>
      <c r="R914" s="88"/>
      <c r="S914" s="88"/>
      <c r="T914" s="88"/>
      <c r="U914" s="88"/>
      <c r="V914" s="88"/>
      <c r="W914" s="88"/>
      <c r="X914" s="88"/>
      <c r="Y914" s="88"/>
      <c r="Z914" s="88"/>
      <c r="AA914" s="88"/>
      <c r="AB914" s="88"/>
      <c r="AC914" s="88"/>
      <c r="AD914" s="88"/>
      <c r="AE914" s="88"/>
    </row>
    <row r="915" spans="12:31" ht="15.75" customHeight="1" x14ac:dyDescent="0.3">
      <c r="L915" s="88"/>
      <c r="M915" s="88"/>
      <c r="N915" s="88"/>
      <c r="O915" s="88"/>
      <c r="P915" s="88"/>
      <c r="Q915" s="88"/>
      <c r="R915" s="88"/>
      <c r="S915" s="88"/>
      <c r="T915" s="88"/>
      <c r="U915" s="88"/>
      <c r="V915" s="88"/>
      <c r="W915" s="88"/>
      <c r="X915" s="88"/>
      <c r="Y915" s="88"/>
      <c r="Z915" s="88"/>
      <c r="AA915" s="88"/>
      <c r="AB915" s="88"/>
      <c r="AC915" s="88"/>
      <c r="AD915" s="88"/>
      <c r="AE915" s="88"/>
    </row>
    <row r="916" spans="12:31" ht="15.75" customHeight="1" x14ac:dyDescent="0.3">
      <c r="L916" s="88"/>
      <c r="M916" s="88"/>
      <c r="N916" s="88"/>
      <c r="O916" s="88"/>
      <c r="P916" s="88"/>
      <c r="Q916" s="88"/>
      <c r="R916" s="88"/>
      <c r="S916" s="88"/>
      <c r="T916" s="88"/>
      <c r="U916" s="88"/>
      <c r="V916" s="88"/>
      <c r="W916" s="88"/>
      <c r="X916" s="88"/>
      <c r="Y916" s="88"/>
      <c r="Z916" s="88"/>
      <c r="AA916" s="88"/>
      <c r="AB916" s="88"/>
      <c r="AC916" s="88"/>
      <c r="AD916" s="88"/>
      <c r="AE916" s="88"/>
    </row>
    <row r="917" spans="12:31" ht="15.75" customHeight="1" x14ac:dyDescent="0.3">
      <c r="L917" s="88"/>
      <c r="M917" s="88"/>
      <c r="N917" s="88"/>
      <c r="O917" s="88"/>
      <c r="P917" s="88"/>
      <c r="Q917" s="88"/>
      <c r="R917" s="88"/>
      <c r="S917" s="88"/>
      <c r="T917" s="88"/>
      <c r="U917" s="88"/>
      <c r="V917" s="88"/>
      <c r="W917" s="88"/>
      <c r="X917" s="88"/>
      <c r="Y917" s="88"/>
      <c r="Z917" s="88"/>
      <c r="AA917" s="88"/>
      <c r="AB917" s="88"/>
      <c r="AC917" s="88"/>
      <c r="AD917" s="88"/>
      <c r="AE917" s="88"/>
    </row>
    <row r="918" spans="12:31" ht="15.75" customHeight="1" x14ac:dyDescent="0.3">
      <c r="L918" s="88"/>
      <c r="M918" s="88"/>
      <c r="N918" s="88"/>
      <c r="O918" s="88"/>
      <c r="P918" s="88"/>
      <c r="Q918" s="88"/>
      <c r="R918" s="88"/>
      <c r="S918" s="88"/>
      <c r="T918" s="88"/>
      <c r="U918" s="88"/>
      <c r="V918" s="88"/>
      <c r="W918" s="88"/>
      <c r="X918" s="88"/>
      <c r="Y918" s="88"/>
      <c r="Z918" s="88"/>
      <c r="AA918" s="88"/>
      <c r="AB918" s="88"/>
      <c r="AC918" s="88"/>
      <c r="AD918" s="88"/>
      <c r="AE918" s="88"/>
    </row>
    <row r="919" spans="12:31" ht="15.75" customHeight="1" x14ac:dyDescent="0.3">
      <c r="L919" s="88"/>
      <c r="M919" s="88"/>
      <c r="N919" s="88"/>
      <c r="O919" s="88"/>
      <c r="P919" s="88"/>
      <c r="Q919" s="88"/>
      <c r="R919" s="88"/>
      <c r="S919" s="88"/>
      <c r="T919" s="88"/>
      <c r="U919" s="88"/>
      <c r="V919" s="88"/>
      <c r="W919" s="88"/>
      <c r="X919" s="88"/>
      <c r="Y919" s="88"/>
      <c r="Z919" s="88"/>
      <c r="AA919" s="88"/>
      <c r="AB919" s="88"/>
      <c r="AC919" s="88"/>
      <c r="AD919" s="88"/>
      <c r="AE919" s="88"/>
    </row>
    <row r="920" spans="12:31" ht="15.75" customHeight="1" x14ac:dyDescent="0.3">
      <c r="L920" s="88"/>
      <c r="M920" s="88"/>
      <c r="N920" s="88"/>
      <c r="O920" s="88"/>
      <c r="P920" s="88"/>
      <c r="Q920" s="88"/>
      <c r="R920" s="88"/>
      <c r="S920" s="88"/>
      <c r="T920" s="88"/>
      <c r="U920" s="88"/>
      <c r="V920" s="88"/>
      <c r="W920" s="88"/>
      <c r="X920" s="88"/>
      <c r="Y920" s="88"/>
      <c r="Z920" s="88"/>
      <c r="AA920" s="88"/>
      <c r="AB920" s="88"/>
      <c r="AC920" s="88"/>
      <c r="AD920" s="88"/>
      <c r="AE920" s="88"/>
    </row>
    <row r="921" spans="12:31" ht="15.75" customHeight="1" x14ac:dyDescent="0.3">
      <c r="L921" s="88"/>
      <c r="M921" s="88"/>
      <c r="N921" s="88"/>
      <c r="O921" s="88"/>
      <c r="P921" s="88"/>
      <c r="Q921" s="88"/>
      <c r="R921" s="88"/>
      <c r="S921" s="88"/>
      <c r="T921" s="88"/>
      <c r="U921" s="88"/>
      <c r="V921" s="88"/>
      <c r="W921" s="88"/>
      <c r="X921" s="88"/>
      <c r="Y921" s="88"/>
      <c r="Z921" s="88"/>
      <c r="AA921" s="88"/>
      <c r="AB921" s="88"/>
      <c r="AC921" s="88"/>
      <c r="AD921" s="88"/>
      <c r="AE921" s="88"/>
    </row>
    <row r="922" spans="12:31" ht="15.75" customHeight="1" x14ac:dyDescent="0.3">
      <c r="L922" s="88"/>
      <c r="M922" s="88"/>
      <c r="N922" s="88"/>
      <c r="O922" s="88"/>
      <c r="P922" s="88"/>
      <c r="Q922" s="88"/>
      <c r="R922" s="88"/>
      <c r="S922" s="88"/>
      <c r="T922" s="88"/>
      <c r="U922" s="88"/>
      <c r="V922" s="88"/>
      <c r="W922" s="88"/>
      <c r="X922" s="88"/>
      <c r="Y922" s="88"/>
      <c r="Z922" s="88"/>
      <c r="AA922" s="88"/>
      <c r="AB922" s="88"/>
      <c r="AC922" s="88"/>
      <c r="AD922" s="88"/>
      <c r="AE922" s="88"/>
    </row>
    <row r="923" spans="12:31" ht="15.75" customHeight="1" x14ac:dyDescent="0.3">
      <c r="L923" s="88"/>
      <c r="M923" s="88"/>
      <c r="N923" s="88"/>
      <c r="O923" s="88"/>
      <c r="P923" s="88"/>
      <c r="Q923" s="88"/>
      <c r="R923" s="88"/>
      <c r="S923" s="88"/>
      <c r="T923" s="88"/>
      <c r="U923" s="88"/>
      <c r="V923" s="88"/>
      <c r="W923" s="88"/>
      <c r="X923" s="88"/>
      <c r="Y923" s="88"/>
      <c r="Z923" s="88"/>
      <c r="AA923" s="88"/>
      <c r="AB923" s="88"/>
      <c r="AC923" s="88"/>
      <c r="AD923" s="88"/>
      <c r="AE923" s="88"/>
    </row>
    <row r="924" spans="12:31" ht="15.75" customHeight="1" x14ac:dyDescent="0.3">
      <c r="L924" s="88"/>
      <c r="M924" s="88"/>
      <c r="N924" s="88"/>
      <c r="O924" s="88"/>
      <c r="P924" s="88"/>
      <c r="Q924" s="88"/>
      <c r="R924" s="88"/>
      <c r="S924" s="88"/>
      <c r="T924" s="88"/>
      <c r="U924" s="88"/>
      <c r="V924" s="88"/>
      <c r="W924" s="88"/>
      <c r="X924" s="88"/>
      <c r="Y924" s="88"/>
      <c r="Z924" s="88"/>
      <c r="AA924" s="88"/>
      <c r="AB924" s="88"/>
      <c r="AC924" s="88"/>
      <c r="AD924" s="88"/>
      <c r="AE924" s="88"/>
    </row>
    <row r="925" spans="12:31" ht="15.75" customHeight="1" x14ac:dyDescent="0.3">
      <c r="L925" s="88"/>
      <c r="M925" s="88"/>
      <c r="N925" s="88"/>
      <c r="O925" s="88"/>
      <c r="P925" s="88"/>
      <c r="Q925" s="88"/>
      <c r="R925" s="88"/>
      <c r="S925" s="88"/>
      <c r="T925" s="88"/>
      <c r="U925" s="88"/>
      <c r="V925" s="88"/>
      <c r="W925" s="88"/>
      <c r="X925" s="88"/>
      <c r="Y925" s="88"/>
      <c r="Z925" s="88"/>
      <c r="AA925" s="88"/>
      <c r="AB925" s="88"/>
      <c r="AC925" s="88"/>
      <c r="AD925" s="88"/>
      <c r="AE925" s="88"/>
    </row>
    <row r="926" spans="12:31" ht="15.75" customHeight="1" x14ac:dyDescent="0.3">
      <c r="L926" s="88"/>
      <c r="M926" s="88"/>
      <c r="N926" s="88"/>
      <c r="O926" s="88"/>
      <c r="P926" s="88"/>
      <c r="Q926" s="88"/>
      <c r="R926" s="88"/>
      <c r="S926" s="88"/>
      <c r="T926" s="88"/>
      <c r="U926" s="88"/>
      <c r="V926" s="88"/>
      <c r="W926" s="88"/>
      <c r="X926" s="88"/>
      <c r="Y926" s="88"/>
      <c r="Z926" s="88"/>
      <c r="AA926" s="88"/>
      <c r="AB926" s="88"/>
      <c r="AC926" s="88"/>
      <c r="AD926" s="88"/>
      <c r="AE926" s="88"/>
    </row>
    <row r="927" spans="12:31" ht="15.75" customHeight="1" x14ac:dyDescent="0.3">
      <c r="L927" s="88"/>
      <c r="M927" s="88"/>
      <c r="N927" s="88"/>
      <c r="O927" s="88"/>
      <c r="P927" s="88"/>
      <c r="Q927" s="88"/>
      <c r="R927" s="88"/>
      <c r="S927" s="88"/>
      <c r="T927" s="88"/>
      <c r="U927" s="88"/>
      <c r="V927" s="88"/>
      <c r="W927" s="88"/>
      <c r="X927" s="88"/>
      <c r="Y927" s="88"/>
      <c r="Z927" s="88"/>
      <c r="AA927" s="88"/>
      <c r="AB927" s="88"/>
      <c r="AC927" s="88"/>
      <c r="AD927" s="88"/>
      <c r="AE927" s="88"/>
    </row>
    <row r="928" spans="12:31" ht="15.75" customHeight="1" x14ac:dyDescent="0.3">
      <c r="L928" s="88"/>
      <c r="M928" s="88"/>
      <c r="N928" s="88"/>
      <c r="O928" s="88"/>
      <c r="P928" s="88"/>
      <c r="Q928" s="88"/>
      <c r="R928" s="88"/>
      <c r="S928" s="88"/>
      <c r="T928" s="88"/>
      <c r="U928" s="88"/>
      <c r="V928" s="88"/>
      <c r="W928" s="88"/>
      <c r="X928" s="88"/>
      <c r="Y928" s="88"/>
      <c r="Z928" s="88"/>
      <c r="AA928" s="88"/>
      <c r="AB928" s="88"/>
      <c r="AC928" s="88"/>
      <c r="AD928" s="88"/>
      <c r="AE928" s="88"/>
    </row>
    <row r="929" spans="12:31" ht="15.75" customHeight="1" x14ac:dyDescent="0.3">
      <c r="L929" s="88"/>
      <c r="M929" s="88"/>
      <c r="N929" s="88"/>
      <c r="O929" s="88"/>
      <c r="P929" s="88"/>
      <c r="Q929" s="88"/>
      <c r="R929" s="88"/>
      <c r="S929" s="88"/>
      <c r="T929" s="88"/>
      <c r="U929" s="88"/>
      <c r="V929" s="88"/>
      <c r="W929" s="88"/>
      <c r="X929" s="88"/>
      <c r="Y929" s="88"/>
      <c r="Z929" s="88"/>
      <c r="AA929" s="88"/>
      <c r="AB929" s="88"/>
      <c r="AC929" s="88"/>
      <c r="AD929" s="88"/>
      <c r="AE929" s="88"/>
    </row>
    <row r="930" spans="12:31" ht="15.75" customHeight="1" x14ac:dyDescent="0.3">
      <c r="L930" s="88"/>
      <c r="M930" s="88"/>
      <c r="N930" s="88"/>
      <c r="O930" s="88"/>
      <c r="P930" s="88"/>
      <c r="Q930" s="88"/>
      <c r="R930" s="88"/>
      <c r="S930" s="88"/>
      <c r="T930" s="88"/>
      <c r="U930" s="88"/>
      <c r="V930" s="88"/>
      <c r="W930" s="88"/>
      <c r="X930" s="88"/>
      <c r="Y930" s="88"/>
      <c r="Z930" s="88"/>
      <c r="AA930" s="88"/>
      <c r="AB930" s="88"/>
      <c r="AC930" s="88"/>
      <c r="AD930" s="88"/>
      <c r="AE930" s="88"/>
    </row>
    <row r="931" spans="12:31" ht="15.75" customHeight="1" x14ac:dyDescent="0.3">
      <c r="L931" s="88"/>
      <c r="M931" s="88"/>
      <c r="N931" s="88"/>
      <c r="O931" s="88"/>
      <c r="P931" s="88"/>
      <c r="Q931" s="88"/>
      <c r="R931" s="88"/>
      <c r="S931" s="88"/>
      <c r="T931" s="88"/>
      <c r="U931" s="88"/>
      <c r="V931" s="88"/>
      <c r="W931" s="88"/>
      <c r="X931" s="88"/>
      <c r="Y931" s="88"/>
      <c r="Z931" s="88"/>
      <c r="AA931" s="88"/>
      <c r="AB931" s="88"/>
      <c r="AC931" s="88"/>
      <c r="AD931" s="88"/>
      <c r="AE931" s="88"/>
    </row>
    <row r="932" spans="12:31" ht="15.75" customHeight="1" x14ac:dyDescent="0.3">
      <c r="L932" s="88"/>
      <c r="M932" s="88"/>
      <c r="N932" s="88"/>
      <c r="O932" s="88"/>
      <c r="P932" s="88"/>
      <c r="Q932" s="88"/>
      <c r="R932" s="88"/>
      <c r="S932" s="88"/>
      <c r="T932" s="88"/>
      <c r="U932" s="88"/>
      <c r="V932" s="88"/>
      <c r="W932" s="88"/>
      <c r="X932" s="88"/>
      <c r="Y932" s="88"/>
      <c r="Z932" s="88"/>
      <c r="AA932" s="88"/>
      <c r="AB932" s="88"/>
      <c r="AC932" s="88"/>
      <c r="AD932" s="88"/>
      <c r="AE932" s="88"/>
    </row>
    <row r="933" spans="12:31" ht="15.75" customHeight="1" x14ac:dyDescent="0.3">
      <c r="L933" s="88"/>
      <c r="M933" s="88"/>
      <c r="N933" s="88"/>
      <c r="O933" s="88"/>
      <c r="P933" s="88"/>
      <c r="Q933" s="88"/>
      <c r="R933" s="88"/>
      <c r="S933" s="88"/>
      <c r="T933" s="88"/>
      <c r="U933" s="88"/>
      <c r="V933" s="88"/>
      <c r="W933" s="88"/>
      <c r="X933" s="88"/>
      <c r="Y933" s="88"/>
      <c r="Z933" s="88"/>
      <c r="AA933" s="88"/>
      <c r="AB933" s="88"/>
      <c r="AC933" s="88"/>
      <c r="AD933" s="88"/>
      <c r="AE933" s="88"/>
    </row>
    <row r="934" spans="12:31" ht="15.75" customHeight="1" x14ac:dyDescent="0.3">
      <c r="L934" s="88"/>
      <c r="M934" s="88"/>
      <c r="N934" s="88"/>
      <c r="O934" s="88"/>
      <c r="P934" s="88"/>
      <c r="Q934" s="88"/>
      <c r="R934" s="88"/>
      <c r="S934" s="88"/>
      <c r="T934" s="88"/>
      <c r="U934" s="88"/>
      <c r="V934" s="88"/>
      <c r="W934" s="88"/>
      <c r="X934" s="88"/>
      <c r="Y934" s="88"/>
      <c r="Z934" s="88"/>
      <c r="AA934" s="88"/>
      <c r="AB934" s="88"/>
      <c r="AC934" s="88"/>
      <c r="AD934" s="88"/>
      <c r="AE934" s="88"/>
    </row>
    <row r="935" spans="12:31" ht="15.75" customHeight="1" x14ac:dyDescent="0.3">
      <c r="L935" s="88"/>
      <c r="M935" s="88"/>
      <c r="N935" s="88"/>
      <c r="O935" s="88"/>
      <c r="P935" s="88"/>
      <c r="Q935" s="88"/>
      <c r="R935" s="88"/>
      <c r="S935" s="88"/>
      <c r="T935" s="88"/>
      <c r="U935" s="88"/>
      <c r="V935" s="88"/>
      <c r="W935" s="88"/>
      <c r="X935" s="88"/>
      <c r="Y935" s="88"/>
      <c r="Z935" s="88"/>
      <c r="AA935" s="88"/>
      <c r="AB935" s="88"/>
      <c r="AC935" s="88"/>
      <c r="AD935" s="88"/>
      <c r="AE935" s="88"/>
    </row>
    <row r="936" spans="12:31" ht="15.75" customHeight="1" x14ac:dyDescent="0.3">
      <c r="L936" s="88"/>
      <c r="M936" s="88"/>
      <c r="N936" s="88"/>
      <c r="O936" s="88"/>
      <c r="P936" s="88"/>
      <c r="Q936" s="88"/>
      <c r="R936" s="88"/>
      <c r="S936" s="88"/>
      <c r="T936" s="88"/>
      <c r="U936" s="88"/>
      <c r="V936" s="88"/>
      <c r="W936" s="88"/>
      <c r="X936" s="88"/>
      <c r="Y936" s="88"/>
      <c r="Z936" s="88"/>
      <c r="AA936" s="88"/>
      <c r="AB936" s="88"/>
      <c r="AC936" s="88"/>
      <c r="AD936" s="88"/>
      <c r="AE936" s="88"/>
    </row>
    <row r="937" spans="12:31" ht="15.75" customHeight="1" x14ac:dyDescent="0.3">
      <c r="L937" s="88"/>
      <c r="M937" s="88"/>
      <c r="N937" s="88"/>
      <c r="O937" s="88"/>
      <c r="P937" s="88"/>
      <c r="Q937" s="88"/>
      <c r="R937" s="88"/>
      <c r="S937" s="88"/>
      <c r="T937" s="88"/>
      <c r="U937" s="88"/>
      <c r="V937" s="88"/>
      <c r="W937" s="88"/>
      <c r="X937" s="88"/>
      <c r="Y937" s="88"/>
      <c r="Z937" s="88"/>
      <c r="AA937" s="88"/>
      <c r="AB937" s="88"/>
      <c r="AC937" s="88"/>
      <c r="AD937" s="88"/>
      <c r="AE937" s="88"/>
    </row>
    <row r="938" spans="12:31" ht="15.75" customHeight="1" x14ac:dyDescent="0.3">
      <c r="L938" s="88"/>
      <c r="M938" s="88"/>
      <c r="N938" s="88"/>
      <c r="O938" s="88"/>
      <c r="P938" s="88"/>
      <c r="Q938" s="88"/>
      <c r="R938" s="88"/>
      <c r="S938" s="88"/>
      <c r="T938" s="88"/>
      <c r="U938" s="88"/>
      <c r="V938" s="88"/>
      <c r="W938" s="88"/>
      <c r="X938" s="88"/>
      <c r="Y938" s="88"/>
      <c r="Z938" s="88"/>
      <c r="AA938" s="88"/>
      <c r="AB938" s="88"/>
      <c r="AC938" s="88"/>
      <c r="AD938" s="88"/>
      <c r="AE938" s="88"/>
    </row>
    <row r="939" spans="12:31" ht="15.75" customHeight="1" x14ac:dyDescent="0.3">
      <c r="L939" s="88"/>
      <c r="M939" s="88"/>
      <c r="N939" s="88"/>
      <c r="O939" s="88"/>
      <c r="P939" s="88"/>
      <c r="Q939" s="88"/>
      <c r="R939" s="88"/>
      <c r="S939" s="88"/>
      <c r="T939" s="88"/>
      <c r="U939" s="88"/>
      <c r="V939" s="88"/>
      <c r="W939" s="88"/>
      <c r="X939" s="88"/>
      <c r="Y939" s="88"/>
      <c r="Z939" s="88"/>
      <c r="AA939" s="88"/>
      <c r="AB939" s="88"/>
      <c r="AC939" s="88"/>
      <c r="AD939" s="88"/>
      <c r="AE939" s="88"/>
    </row>
    <row r="940" spans="12:31" ht="15.75" customHeight="1" x14ac:dyDescent="0.3">
      <c r="L940" s="88"/>
      <c r="M940" s="88"/>
      <c r="N940" s="88"/>
      <c r="O940" s="88"/>
      <c r="P940" s="88"/>
      <c r="Q940" s="88"/>
      <c r="R940" s="88"/>
      <c r="S940" s="88"/>
      <c r="T940" s="88"/>
      <c r="U940" s="88"/>
      <c r="V940" s="88"/>
      <c r="W940" s="88"/>
      <c r="X940" s="88"/>
      <c r="Y940" s="88"/>
      <c r="Z940" s="88"/>
      <c r="AA940" s="88"/>
      <c r="AB940" s="88"/>
      <c r="AC940" s="88"/>
      <c r="AD940" s="88"/>
      <c r="AE940" s="88"/>
    </row>
    <row r="941" spans="12:31" ht="15.75" customHeight="1" x14ac:dyDescent="0.3">
      <c r="L941" s="88"/>
      <c r="M941" s="88"/>
      <c r="N941" s="88"/>
      <c r="O941" s="88"/>
      <c r="P941" s="88"/>
      <c r="Q941" s="88"/>
      <c r="R941" s="88"/>
      <c r="S941" s="88"/>
      <c r="T941" s="88"/>
      <c r="U941" s="88"/>
      <c r="V941" s="88"/>
      <c r="W941" s="88"/>
      <c r="X941" s="88"/>
      <c r="Y941" s="88"/>
      <c r="Z941" s="88"/>
      <c r="AA941" s="88"/>
      <c r="AB941" s="88"/>
      <c r="AC941" s="88"/>
      <c r="AD941" s="88"/>
      <c r="AE941" s="88"/>
    </row>
    <row r="942" spans="12:31" ht="15.75" customHeight="1" x14ac:dyDescent="0.3">
      <c r="L942" s="88"/>
      <c r="M942" s="88"/>
      <c r="N942" s="88"/>
      <c r="O942" s="88"/>
      <c r="P942" s="88"/>
      <c r="Q942" s="88"/>
      <c r="R942" s="88"/>
      <c r="S942" s="88"/>
      <c r="T942" s="88"/>
      <c r="U942" s="88"/>
      <c r="V942" s="88"/>
      <c r="W942" s="88"/>
      <c r="X942" s="88"/>
      <c r="Y942" s="88"/>
      <c r="Z942" s="88"/>
      <c r="AA942" s="88"/>
      <c r="AB942" s="88"/>
      <c r="AC942" s="88"/>
      <c r="AD942" s="88"/>
      <c r="AE942" s="88"/>
    </row>
    <row r="943" spans="12:31" ht="15.75" customHeight="1" x14ac:dyDescent="0.3">
      <c r="L943" s="88"/>
      <c r="M943" s="88"/>
      <c r="N943" s="88"/>
      <c r="O943" s="88"/>
      <c r="P943" s="88"/>
      <c r="Q943" s="88"/>
      <c r="R943" s="88"/>
      <c r="S943" s="88"/>
      <c r="T943" s="88"/>
      <c r="U943" s="88"/>
      <c r="V943" s="88"/>
      <c r="W943" s="88"/>
      <c r="X943" s="88"/>
      <c r="Y943" s="88"/>
      <c r="Z943" s="88"/>
      <c r="AA943" s="88"/>
      <c r="AB943" s="88"/>
      <c r="AC943" s="88"/>
      <c r="AD943" s="88"/>
      <c r="AE943" s="88"/>
    </row>
    <row r="944" spans="12:31" ht="15.75" customHeight="1" x14ac:dyDescent="0.3">
      <c r="L944" s="88"/>
      <c r="M944" s="88"/>
      <c r="N944" s="88"/>
      <c r="O944" s="88"/>
      <c r="P944" s="88"/>
      <c r="Q944" s="88"/>
      <c r="R944" s="88"/>
      <c r="S944" s="88"/>
      <c r="T944" s="88"/>
      <c r="U944" s="88"/>
      <c r="V944" s="88"/>
      <c r="W944" s="88"/>
      <c r="X944" s="88"/>
      <c r="Y944" s="88"/>
      <c r="Z944" s="88"/>
      <c r="AA944" s="88"/>
      <c r="AB944" s="88"/>
      <c r="AC944" s="88"/>
      <c r="AD944" s="88"/>
      <c r="AE944" s="88"/>
    </row>
    <row r="945" spans="12:31" ht="15.75" customHeight="1" x14ac:dyDescent="0.3">
      <c r="L945" s="88"/>
      <c r="M945" s="88"/>
      <c r="N945" s="88"/>
      <c r="O945" s="88"/>
      <c r="P945" s="88"/>
      <c r="Q945" s="88"/>
      <c r="R945" s="88"/>
      <c r="S945" s="88"/>
      <c r="T945" s="88"/>
      <c r="U945" s="88"/>
      <c r="V945" s="88"/>
      <c r="W945" s="88"/>
      <c r="X945" s="88"/>
      <c r="Y945" s="88"/>
      <c r="Z945" s="88"/>
      <c r="AA945" s="88"/>
      <c r="AB945" s="88"/>
      <c r="AC945" s="88"/>
      <c r="AD945" s="88"/>
      <c r="AE945" s="88"/>
    </row>
    <row r="946" spans="12:31" ht="15.75" customHeight="1" x14ac:dyDescent="0.3">
      <c r="L946" s="88"/>
      <c r="M946" s="88"/>
      <c r="N946" s="88"/>
      <c r="O946" s="88"/>
      <c r="P946" s="88"/>
      <c r="Q946" s="88"/>
      <c r="R946" s="88"/>
      <c r="S946" s="88"/>
      <c r="T946" s="88"/>
      <c r="U946" s="88"/>
      <c r="V946" s="88"/>
      <c r="W946" s="88"/>
      <c r="X946" s="88"/>
      <c r="Y946" s="88"/>
      <c r="Z946" s="88"/>
      <c r="AA946" s="88"/>
      <c r="AB946" s="88"/>
      <c r="AC946" s="88"/>
      <c r="AD946" s="88"/>
      <c r="AE946" s="88"/>
    </row>
    <row r="947" spans="12:31" ht="15.75" customHeight="1" x14ac:dyDescent="0.3">
      <c r="L947" s="88"/>
      <c r="M947" s="88"/>
      <c r="N947" s="88"/>
      <c r="O947" s="88"/>
      <c r="P947" s="88"/>
      <c r="Q947" s="88"/>
      <c r="R947" s="88"/>
      <c r="S947" s="88"/>
      <c r="T947" s="88"/>
      <c r="U947" s="88"/>
      <c r="V947" s="88"/>
      <c r="W947" s="88"/>
      <c r="X947" s="88"/>
      <c r="Y947" s="88"/>
      <c r="Z947" s="88"/>
      <c r="AA947" s="88"/>
      <c r="AB947" s="88"/>
      <c r="AC947" s="88"/>
      <c r="AD947" s="88"/>
      <c r="AE947" s="88"/>
    </row>
    <row r="948" spans="12:31" ht="15.75" customHeight="1" x14ac:dyDescent="0.3">
      <c r="L948" s="88"/>
      <c r="M948" s="88"/>
      <c r="N948" s="88"/>
      <c r="O948" s="88"/>
      <c r="P948" s="88"/>
      <c r="Q948" s="88"/>
      <c r="R948" s="88"/>
      <c r="S948" s="88"/>
      <c r="T948" s="88"/>
      <c r="U948" s="88"/>
      <c r="V948" s="88"/>
      <c r="W948" s="88"/>
      <c r="X948" s="88"/>
      <c r="Y948" s="88"/>
      <c r="Z948" s="88"/>
      <c r="AA948" s="88"/>
      <c r="AB948" s="88"/>
      <c r="AC948" s="88"/>
      <c r="AD948" s="88"/>
      <c r="AE948" s="88"/>
    </row>
    <row r="949" spans="12:31" ht="15.75" customHeight="1" x14ac:dyDescent="0.3">
      <c r="L949" s="88"/>
      <c r="M949" s="88"/>
      <c r="N949" s="88"/>
      <c r="O949" s="88"/>
      <c r="P949" s="88"/>
      <c r="Q949" s="88"/>
      <c r="R949" s="88"/>
      <c r="S949" s="88"/>
      <c r="T949" s="88"/>
      <c r="U949" s="88"/>
      <c r="V949" s="88"/>
      <c r="W949" s="88"/>
      <c r="X949" s="88"/>
      <c r="Y949" s="88"/>
      <c r="Z949" s="88"/>
      <c r="AA949" s="88"/>
      <c r="AB949" s="88"/>
      <c r="AC949" s="88"/>
      <c r="AD949" s="88"/>
      <c r="AE949" s="88"/>
    </row>
    <row r="950" spans="12:31" ht="15.75" customHeight="1" x14ac:dyDescent="0.3">
      <c r="L950" s="88"/>
      <c r="M950" s="88"/>
      <c r="N950" s="88"/>
      <c r="O950" s="88"/>
      <c r="P950" s="88"/>
      <c r="Q950" s="88"/>
      <c r="R950" s="88"/>
      <c r="S950" s="88"/>
      <c r="T950" s="88"/>
      <c r="U950" s="88"/>
      <c r="V950" s="88"/>
      <c r="W950" s="88"/>
      <c r="X950" s="88"/>
      <c r="Y950" s="88"/>
      <c r="Z950" s="88"/>
      <c r="AA950" s="88"/>
      <c r="AB950" s="88"/>
      <c r="AC950" s="88"/>
      <c r="AD950" s="88"/>
      <c r="AE950" s="88"/>
    </row>
    <row r="951" spans="12:31" ht="15.75" customHeight="1" x14ac:dyDescent="0.3">
      <c r="L951" s="88"/>
      <c r="M951" s="88"/>
      <c r="N951" s="88"/>
      <c r="O951" s="88"/>
      <c r="P951" s="88"/>
      <c r="Q951" s="88"/>
      <c r="R951" s="88"/>
      <c r="S951" s="88"/>
      <c r="T951" s="88"/>
      <c r="U951" s="88"/>
      <c r="V951" s="88"/>
      <c r="W951" s="88"/>
      <c r="X951" s="88"/>
      <c r="Y951" s="88"/>
      <c r="Z951" s="88"/>
      <c r="AA951" s="88"/>
      <c r="AB951" s="88"/>
      <c r="AC951" s="88"/>
      <c r="AD951" s="88"/>
      <c r="AE951" s="88"/>
    </row>
    <row r="952" spans="12:31" ht="15.75" customHeight="1" x14ac:dyDescent="0.3">
      <c r="L952" s="88"/>
      <c r="M952" s="88"/>
      <c r="N952" s="88"/>
      <c r="O952" s="88"/>
      <c r="P952" s="88"/>
      <c r="Q952" s="88"/>
      <c r="R952" s="88"/>
      <c r="S952" s="88"/>
      <c r="T952" s="88"/>
      <c r="U952" s="88"/>
      <c r="V952" s="88"/>
      <c r="W952" s="88"/>
      <c r="X952" s="88"/>
      <c r="Y952" s="88"/>
      <c r="Z952" s="88"/>
      <c r="AA952" s="88"/>
      <c r="AB952" s="88"/>
      <c r="AC952" s="88"/>
      <c r="AD952" s="88"/>
      <c r="AE952" s="88"/>
    </row>
    <row r="953" spans="12:31" ht="15.75" customHeight="1" x14ac:dyDescent="0.3">
      <c r="L953" s="88"/>
      <c r="M953" s="88"/>
      <c r="N953" s="88"/>
      <c r="O953" s="88"/>
      <c r="P953" s="88"/>
      <c r="Q953" s="88"/>
      <c r="R953" s="88"/>
      <c r="S953" s="88"/>
      <c r="T953" s="88"/>
      <c r="U953" s="88"/>
      <c r="V953" s="88"/>
      <c r="W953" s="88"/>
      <c r="X953" s="88"/>
      <c r="Y953" s="88"/>
      <c r="Z953" s="88"/>
      <c r="AA953" s="88"/>
      <c r="AB953" s="88"/>
      <c r="AC953" s="88"/>
      <c r="AD953" s="88"/>
      <c r="AE953" s="88"/>
    </row>
    <row r="954" spans="12:31" ht="15.75" customHeight="1" x14ac:dyDescent="0.3">
      <c r="L954" s="88"/>
      <c r="M954" s="88"/>
      <c r="N954" s="88"/>
      <c r="O954" s="88"/>
      <c r="P954" s="88"/>
      <c r="Q954" s="88"/>
      <c r="R954" s="88"/>
      <c r="S954" s="88"/>
      <c r="T954" s="88"/>
      <c r="U954" s="88"/>
      <c r="V954" s="88"/>
      <c r="W954" s="88"/>
      <c r="X954" s="88"/>
      <c r="Y954" s="88"/>
      <c r="Z954" s="88"/>
      <c r="AA954" s="88"/>
      <c r="AB954" s="88"/>
      <c r="AC954" s="88"/>
      <c r="AD954" s="88"/>
      <c r="AE954" s="88"/>
    </row>
    <row r="955" spans="12:31" ht="15.75" customHeight="1" x14ac:dyDescent="0.3">
      <c r="L955" s="88"/>
      <c r="M955" s="88"/>
      <c r="N955" s="88"/>
      <c r="O955" s="88"/>
      <c r="P955" s="88"/>
      <c r="Q955" s="88"/>
      <c r="R955" s="88"/>
      <c r="S955" s="88"/>
      <c r="T955" s="88"/>
      <c r="U955" s="88"/>
      <c r="V955" s="88"/>
      <c r="W955" s="88"/>
      <c r="X955" s="88"/>
      <c r="Y955" s="88"/>
      <c r="Z955" s="88"/>
      <c r="AA955" s="88"/>
      <c r="AB955" s="88"/>
      <c r="AC955" s="88"/>
      <c r="AD955" s="88"/>
      <c r="AE955" s="88"/>
    </row>
    <row r="956" spans="12:31" ht="15.75" customHeight="1" x14ac:dyDescent="0.3">
      <c r="L956" s="88"/>
      <c r="M956" s="88"/>
      <c r="N956" s="88"/>
      <c r="O956" s="88"/>
      <c r="P956" s="88"/>
      <c r="Q956" s="88"/>
      <c r="R956" s="88"/>
      <c r="S956" s="88"/>
      <c r="T956" s="88"/>
      <c r="U956" s="88"/>
      <c r="V956" s="88"/>
      <c r="W956" s="88"/>
      <c r="X956" s="88"/>
      <c r="Y956" s="88"/>
      <c r="Z956" s="88"/>
      <c r="AA956" s="88"/>
      <c r="AB956" s="88"/>
      <c r="AC956" s="88"/>
      <c r="AD956" s="88"/>
      <c r="AE956" s="88"/>
    </row>
    <row r="957" spans="12:31" ht="15.75" customHeight="1" x14ac:dyDescent="0.3">
      <c r="L957" s="88"/>
      <c r="M957" s="88"/>
      <c r="N957" s="88"/>
      <c r="O957" s="88"/>
      <c r="P957" s="88"/>
      <c r="Q957" s="88"/>
      <c r="R957" s="88"/>
      <c r="S957" s="88"/>
      <c r="T957" s="88"/>
      <c r="U957" s="88"/>
      <c r="V957" s="88"/>
      <c r="W957" s="88"/>
      <c r="X957" s="88"/>
      <c r="Y957" s="88"/>
      <c r="Z957" s="88"/>
      <c r="AA957" s="88"/>
      <c r="AB957" s="88"/>
      <c r="AC957" s="88"/>
      <c r="AD957" s="88"/>
      <c r="AE957" s="88"/>
    </row>
    <row r="958" spans="12:31" ht="15.75" customHeight="1" x14ac:dyDescent="0.3">
      <c r="L958" s="88"/>
      <c r="M958" s="88"/>
      <c r="N958" s="88"/>
      <c r="O958" s="88"/>
      <c r="P958" s="88"/>
      <c r="Q958" s="88"/>
      <c r="R958" s="88"/>
      <c r="S958" s="88"/>
      <c r="T958" s="88"/>
      <c r="U958" s="88"/>
      <c r="V958" s="88"/>
      <c r="W958" s="88"/>
      <c r="X958" s="88"/>
      <c r="Y958" s="88"/>
      <c r="Z958" s="88"/>
      <c r="AA958" s="88"/>
      <c r="AB958" s="88"/>
      <c r="AC958" s="88"/>
      <c r="AD958" s="88"/>
      <c r="AE958" s="88"/>
    </row>
    <row r="959" spans="12:31" ht="15.75" customHeight="1" x14ac:dyDescent="0.3">
      <c r="L959" s="88"/>
      <c r="M959" s="88"/>
      <c r="N959" s="88"/>
      <c r="O959" s="88"/>
      <c r="P959" s="88"/>
      <c r="Q959" s="88"/>
      <c r="R959" s="88"/>
      <c r="S959" s="88"/>
      <c r="T959" s="88"/>
      <c r="U959" s="88"/>
      <c r="V959" s="88"/>
      <c r="W959" s="88"/>
      <c r="X959" s="88"/>
      <c r="Y959" s="88"/>
      <c r="Z959" s="88"/>
      <c r="AA959" s="88"/>
      <c r="AB959" s="88"/>
      <c r="AC959" s="88"/>
      <c r="AD959" s="88"/>
      <c r="AE959" s="88"/>
    </row>
    <row r="960" spans="12:31" ht="15.75" customHeight="1" x14ac:dyDescent="0.3">
      <c r="L960" s="88"/>
      <c r="M960" s="88"/>
      <c r="N960" s="88"/>
      <c r="O960" s="88"/>
      <c r="P960" s="88"/>
      <c r="Q960" s="88"/>
      <c r="R960" s="88"/>
      <c r="S960" s="88"/>
      <c r="T960" s="88"/>
      <c r="U960" s="88"/>
      <c r="V960" s="88"/>
      <c r="W960" s="88"/>
      <c r="X960" s="88"/>
      <c r="Y960" s="88"/>
      <c r="Z960" s="88"/>
      <c r="AA960" s="88"/>
      <c r="AB960" s="88"/>
      <c r="AC960" s="88"/>
      <c r="AD960" s="88"/>
      <c r="AE960" s="88"/>
    </row>
    <row r="961" spans="12:31" ht="15.75" customHeight="1" x14ac:dyDescent="0.3">
      <c r="L961" s="88"/>
      <c r="M961" s="88"/>
      <c r="N961" s="88"/>
      <c r="O961" s="88"/>
      <c r="P961" s="88"/>
      <c r="Q961" s="88"/>
      <c r="R961" s="88"/>
      <c r="S961" s="88"/>
      <c r="T961" s="88"/>
      <c r="U961" s="88"/>
      <c r="V961" s="88"/>
      <c r="W961" s="88"/>
      <c r="X961" s="88"/>
      <c r="Y961" s="88"/>
      <c r="Z961" s="88"/>
      <c r="AA961" s="88"/>
      <c r="AB961" s="88"/>
      <c r="AC961" s="88"/>
      <c r="AD961" s="88"/>
      <c r="AE961" s="88"/>
    </row>
    <row r="962" spans="12:31" ht="15.75" customHeight="1" x14ac:dyDescent="0.3">
      <c r="L962" s="88"/>
      <c r="M962" s="88"/>
      <c r="N962" s="88"/>
      <c r="O962" s="88"/>
      <c r="P962" s="88"/>
      <c r="Q962" s="88"/>
      <c r="R962" s="88"/>
      <c r="S962" s="88"/>
      <c r="T962" s="88"/>
      <c r="U962" s="88"/>
      <c r="V962" s="88"/>
      <c r="W962" s="88"/>
      <c r="X962" s="88"/>
      <c r="Y962" s="88"/>
      <c r="Z962" s="88"/>
      <c r="AA962" s="88"/>
      <c r="AB962" s="88"/>
      <c r="AC962" s="88"/>
      <c r="AD962" s="88"/>
      <c r="AE962" s="88"/>
    </row>
    <row r="963" spans="12:31" ht="15.75" customHeight="1" x14ac:dyDescent="0.3">
      <c r="L963" s="88"/>
      <c r="M963" s="88"/>
      <c r="N963" s="88"/>
      <c r="O963" s="88"/>
      <c r="P963" s="88"/>
      <c r="Q963" s="88"/>
      <c r="R963" s="88"/>
      <c r="S963" s="88"/>
      <c r="T963" s="88"/>
      <c r="U963" s="88"/>
      <c r="V963" s="88"/>
      <c r="W963" s="88"/>
      <c r="X963" s="88"/>
      <c r="Y963" s="88"/>
      <c r="Z963" s="88"/>
      <c r="AA963" s="88"/>
      <c r="AB963" s="88"/>
      <c r="AC963" s="88"/>
      <c r="AD963" s="88"/>
      <c r="AE963" s="88"/>
    </row>
    <row r="964" spans="12:31" ht="15.75" customHeight="1" x14ac:dyDescent="0.3">
      <c r="L964" s="88"/>
      <c r="M964" s="88"/>
      <c r="N964" s="88"/>
      <c r="O964" s="88"/>
      <c r="P964" s="88"/>
      <c r="Q964" s="88"/>
      <c r="R964" s="88"/>
      <c r="S964" s="88"/>
      <c r="T964" s="88"/>
      <c r="U964" s="88"/>
      <c r="V964" s="88"/>
      <c r="W964" s="88"/>
      <c r="X964" s="88"/>
      <c r="Y964" s="88"/>
      <c r="Z964" s="88"/>
      <c r="AA964" s="88"/>
      <c r="AB964" s="88"/>
      <c r="AC964" s="88"/>
      <c r="AD964" s="88"/>
      <c r="AE964" s="88"/>
    </row>
    <row r="965" spans="12:31" ht="15.75" customHeight="1" x14ac:dyDescent="0.3">
      <c r="L965" s="88"/>
      <c r="M965" s="88"/>
      <c r="N965" s="88"/>
      <c r="O965" s="88"/>
      <c r="P965" s="88"/>
      <c r="Q965" s="88"/>
      <c r="R965" s="88"/>
      <c r="S965" s="88"/>
      <c r="T965" s="88"/>
      <c r="U965" s="88"/>
      <c r="V965" s="88"/>
      <c r="W965" s="88"/>
      <c r="X965" s="88"/>
      <c r="Y965" s="88"/>
      <c r="Z965" s="88"/>
      <c r="AA965" s="88"/>
      <c r="AB965" s="88"/>
      <c r="AC965" s="88"/>
      <c r="AD965" s="88"/>
      <c r="AE965" s="88"/>
    </row>
    <row r="966" spans="12:31" ht="15.75" customHeight="1" x14ac:dyDescent="0.3">
      <c r="L966" s="88"/>
      <c r="M966" s="88"/>
      <c r="N966" s="88"/>
      <c r="O966" s="88"/>
      <c r="P966" s="88"/>
      <c r="Q966" s="88"/>
      <c r="R966" s="88"/>
      <c r="S966" s="88"/>
      <c r="T966" s="88"/>
      <c r="U966" s="88"/>
      <c r="V966" s="88"/>
      <c r="W966" s="88"/>
      <c r="X966" s="88"/>
      <c r="Y966" s="88"/>
      <c r="Z966" s="88"/>
      <c r="AA966" s="88"/>
      <c r="AB966" s="88"/>
      <c r="AC966" s="88"/>
      <c r="AD966" s="88"/>
      <c r="AE966" s="88"/>
    </row>
    <row r="967" spans="12:31" ht="15.75" customHeight="1" x14ac:dyDescent="0.3">
      <c r="L967" s="88"/>
      <c r="M967" s="88"/>
      <c r="N967" s="88"/>
      <c r="O967" s="88"/>
      <c r="P967" s="88"/>
      <c r="Q967" s="88"/>
      <c r="R967" s="88"/>
      <c r="S967" s="88"/>
      <c r="T967" s="88"/>
      <c r="U967" s="88"/>
      <c r="V967" s="88"/>
      <c r="W967" s="88"/>
      <c r="X967" s="88"/>
      <c r="Y967" s="88"/>
      <c r="Z967" s="88"/>
      <c r="AA967" s="88"/>
      <c r="AB967" s="88"/>
      <c r="AC967" s="88"/>
      <c r="AD967" s="88"/>
      <c r="AE967" s="88"/>
    </row>
    <row r="968" spans="12:31" ht="15.75" customHeight="1" x14ac:dyDescent="0.3">
      <c r="L968" s="88"/>
      <c r="M968" s="88"/>
      <c r="N968" s="88"/>
      <c r="O968" s="88"/>
      <c r="P968" s="88"/>
      <c r="Q968" s="88"/>
      <c r="R968" s="88"/>
      <c r="S968" s="88"/>
      <c r="T968" s="88"/>
      <c r="U968" s="88"/>
      <c r="V968" s="88"/>
      <c r="W968" s="88"/>
      <c r="X968" s="88"/>
      <c r="Y968" s="88"/>
      <c r="Z968" s="88"/>
      <c r="AA968" s="88"/>
      <c r="AB968" s="88"/>
      <c r="AC968" s="88"/>
      <c r="AD968" s="88"/>
      <c r="AE968" s="88"/>
    </row>
    <row r="969" spans="12:31" ht="15.75" customHeight="1" x14ac:dyDescent="0.3">
      <c r="L969" s="88"/>
      <c r="M969" s="88"/>
      <c r="N969" s="88"/>
      <c r="O969" s="88"/>
      <c r="P969" s="88"/>
      <c r="Q969" s="88"/>
      <c r="R969" s="88"/>
      <c r="S969" s="88"/>
      <c r="T969" s="88"/>
      <c r="U969" s="88"/>
      <c r="V969" s="88"/>
      <c r="W969" s="88"/>
      <c r="X969" s="88"/>
      <c r="Y969" s="88"/>
      <c r="Z969" s="88"/>
      <c r="AA969" s="88"/>
      <c r="AB969" s="88"/>
      <c r="AC969" s="88"/>
      <c r="AD969" s="88"/>
      <c r="AE969" s="88"/>
    </row>
    <row r="970" spans="12:31" ht="15.75" customHeight="1" x14ac:dyDescent="0.3">
      <c r="L970" s="88"/>
      <c r="M970" s="88"/>
      <c r="N970" s="88"/>
      <c r="O970" s="88"/>
      <c r="P970" s="88"/>
      <c r="Q970" s="88"/>
      <c r="R970" s="88"/>
      <c r="S970" s="88"/>
      <c r="T970" s="88"/>
      <c r="U970" s="88"/>
      <c r="V970" s="88"/>
      <c r="W970" s="88"/>
      <c r="X970" s="88"/>
      <c r="Y970" s="88"/>
      <c r="Z970" s="88"/>
      <c r="AA970" s="88"/>
      <c r="AB970" s="88"/>
      <c r="AC970" s="88"/>
      <c r="AD970" s="88"/>
      <c r="AE970" s="88"/>
    </row>
    <row r="971" spans="12:31" ht="15.75" customHeight="1" x14ac:dyDescent="0.3">
      <c r="L971" s="88"/>
      <c r="M971" s="88"/>
      <c r="N971" s="88"/>
      <c r="O971" s="88"/>
      <c r="P971" s="88"/>
      <c r="Q971" s="88"/>
      <c r="R971" s="88"/>
      <c r="S971" s="88"/>
      <c r="T971" s="88"/>
      <c r="U971" s="88"/>
      <c r="V971" s="88"/>
      <c r="W971" s="88"/>
      <c r="X971" s="88"/>
      <c r="Y971" s="88"/>
      <c r="Z971" s="88"/>
      <c r="AA971" s="88"/>
      <c r="AB971" s="88"/>
      <c r="AC971" s="88"/>
      <c r="AD971" s="88"/>
      <c r="AE971" s="88"/>
    </row>
    <row r="972" spans="12:31" ht="15.75" customHeight="1" x14ac:dyDescent="0.3">
      <c r="L972" s="88"/>
      <c r="M972" s="88"/>
      <c r="N972" s="88"/>
      <c r="O972" s="88"/>
      <c r="P972" s="88"/>
      <c r="Q972" s="88"/>
      <c r="R972" s="88"/>
      <c r="S972" s="88"/>
      <c r="T972" s="88"/>
      <c r="U972" s="88"/>
      <c r="V972" s="88"/>
      <c r="W972" s="88"/>
      <c r="X972" s="88"/>
      <c r="Y972" s="88"/>
      <c r="Z972" s="88"/>
      <c r="AA972" s="88"/>
      <c r="AB972" s="88"/>
      <c r="AC972" s="88"/>
      <c r="AD972" s="88"/>
      <c r="AE972" s="88"/>
    </row>
    <row r="973" spans="12:31" ht="15.75" customHeight="1" x14ac:dyDescent="0.3">
      <c r="L973" s="88"/>
      <c r="M973" s="88"/>
      <c r="N973" s="88"/>
      <c r="O973" s="88"/>
      <c r="P973" s="88"/>
      <c r="Q973" s="88"/>
      <c r="R973" s="88"/>
      <c r="S973" s="88"/>
      <c r="T973" s="88"/>
      <c r="U973" s="88"/>
      <c r="V973" s="88"/>
      <c r="W973" s="88"/>
      <c r="X973" s="88"/>
      <c r="Y973" s="88"/>
      <c r="Z973" s="88"/>
      <c r="AA973" s="88"/>
      <c r="AB973" s="88"/>
      <c r="AC973" s="88"/>
      <c r="AD973" s="88"/>
      <c r="AE973" s="88"/>
    </row>
    <row r="974" spans="12:31" ht="15.75" customHeight="1" x14ac:dyDescent="0.3">
      <c r="L974" s="88"/>
      <c r="M974" s="88"/>
      <c r="N974" s="88"/>
      <c r="O974" s="88"/>
      <c r="P974" s="88"/>
      <c r="Q974" s="88"/>
      <c r="R974" s="88"/>
      <c r="S974" s="88"/>
      <c r="T974" s="88"/>
      <c r="U974" s="88"/>
      <c r="V974" s="88"/>
      <c r="W974" s="88"/>
      <c r="X974" s="88"/>
      <c r="Y974" s="88"/>
      <c r="Z974" s="88"/>
      <c r="AA974" s="88"/>
      <c r="AB974" s="88"/>
      <c r="AC974" s="88"/>
      <c r="AD974" s="88"/>
      <c r="AE974" s="88"/>
    </row>
    <row r="975" spans="12:31" ht="15.75" customHeight="1" x14ac:dyDescent="0.3">
      <c r="L975" s="88"/>
      <c r="M975" s="88"/>
      <c r="N975" s="88"/>
      <c r="O975" s="88"/>
      <c r="P975" s="88"/>
      <c r="Q975" s="88"/>
      <c r="R975" s="88"/>
      <c r="S975" s="88"/>
      <c r="T975" s="88"/>
      <c r="U975" s="88"/>
      <c r="V975" s="88"/>
      <c r="W975" s="88"/>
      <c r="X975" s="88"/>
      <c r="Y975" s="88"/>
      <c r="Z975" s="88"/>
      <c r="AA975" s="88"/>
      <c r="AB975" s="88"/>
      <c r="AC975" s="88"/>
      <c r="AD975" s="88"/>
      <c r="AE975" s="88"/>
    </row>
    <row r="976" spans="12:31" ht="15.75" customHeight="1" x14ac:dyDescent="0.3">
      <c r="L976" s="88"/>
      <c r="M976" s="88"/>
      <c r="N976" s="88"/>
      <c r="O976" s="88"/>
      <c r="P976" s="88"/>
      <c r="Q976" s="88"/>
      <c r="R976" s="88"/>
      <c r="S976" s="88"/>
      <c r="T976" s="88"/>
      <c r="U976" s="88"/>
      <c r="V976" s="88"/>
      <c r="W976" s="88"/>
      <c r="X976" s="88"/>
      <c r="Y976" s="88"/>
      <c r="Z976" s="88"/>
      <c r="AA976" s="88"/>
      <c r="AB976" s="88"/>
      <c r="AC976" s="88"/>
      <c r="AD976" s="88"/>
      <c r="AE976" s="88"/>
    </row>
    <row r="977" spans="12:31" ht="15.75" customHeight="1" x14ac:dyDescent="0.3">
      <c r="L977" s="88"/>
      <c r="M977" s="88"/>
      <c r="N977" s="88"/>
      <c r="O977" s="88"/>
      <c r="P977" s="88"/>
      <c r="Q977" s="88"/>
      <c r="R977" s="88"/>
      <c r="S977" s="88"/>
      <c r="T977" s="88"/>
      <c r="U977" s="88"/>
      <c r="V977" s="88"/>
      <c r="W977" s="88"/>
      <c r="X977" s="88"/>
      <c r="Y977" s="88"/>
      <c r="Z977" s="88"/>
      <c r="AA977" s="88"/>
      <c r="AB977" s="88"/>
      <c r="AC977" s="88"/>
      <c r="AD977" s="88"/>
      <c r="AE977" s="88"/>
    </row>
    <row r="978" spans="12:31" ht="15.75" customHeight="1" x14ac:dyDescent="0.3">
      <c r="L978" s="88"/>
      <c r="M978" s="88"/>
      <c r="N978" s="88"/>
      <c r="O978" s="88"/>
      <c r="P978" s="88"/>
      <c r="Q978" s="88"/>
      <c r="R978" s="88"/>
      <c r="S978" s="88"/>
      <c r="T978" s="88"/>
      <c r="U978" s="88"/>
      <c r="V978" s="88"/>
      <c r="W978" s="88"/>
      <c r="X978" s="88"/>
      <c r="Y978" s="88"/>
      <c r="Z978" s="88"/>
      <c r="AA978" s="88"/>
      <c r="AB978" s="88"/>
      <c r="AC978" s="88"/>
      <c r="AD978" s="88"/>
      <c r="AE978" s="88"/>
    </row>
    <row r="979" spans="12:31" ht="15.75" customHeight="1" x14ac:dyDescent="0.3">
      <c r="L979" s="88"/>
      <c r="M979" s="88"/>
      <c r="N979" s="88"/>
      <c r="O979" s="88"/>
      <c r="P979" s="88"/>
      <c r="Q979" s="88"/>
      <c r="R979" s="88"/>
      <c r="S979" s="88"/>
      <c r="T979" s="88"/>
      <c r="U979" s="88"/>
      <c r="V979" s="88"/>
      <c r="W979" s="88"/>
      <c r="X979" s="88"/>
      <c r="Y979" s="88"/>
      <c r="Z979" s="88"/>
      <c r="AA979" s="88"/>
      <c r="AB979" s="88"/>
      <c r="AC979" s="88"/>
      <c r="AD979" s="88"/>
      <c r="AE979" s="88"/>
    </row>
    <row r="980" spans="12:31" ht="15.75" customHeight="1" x14ac:dyDescent="0.3">
      <c r="L980" s="88"/>
      <c r="M980" s="88"/>
      <c r="N980" s="88"/>
      <c r="O980" s="88"/>
      <c r="P980" s="88"/>
      <c r="Q980" s="88"/>
      <c r="R980" s="88"/>
      <c r="S980" s="88"/>
      <c r="T980" s="88"/>
      <c r="U980" s="88"/>
      <c r="V980" s="88"/>
      <c r="W980" s="88"/>
      <c r="X980" s="88"/>
      <c r="Y980" s="88"/>
      <c r="Z980" s="88"/>
      <c r="AA980" s="88"/>
      <c r="AB980" s="88"/>
      <c r="AC980" s="88"/>
      <c r="AD980" s="88"/>
      <c r="AE980" s="88"/>
    </row>
    <row r="981" spans="12:31" ht="15.75" customHeight="1" x14ac:dyDescent="0.3">
      <c r="L981" s="88"/>
      <c r="M981" s="88"/>
      <c r="N981" s="88"/>
      <c r="O981" s="88"/>
      <c r="P981" s="88"/>
      <c r="Q981" s="88"/>
      <c r="R981" s="88"/>
      <c r="S981" s="88"/>
      <c r="T981" s="88"/>
      <c r="U981" s="88"/>
      <c r="V981" s="88"/>
      <c r="W981" s="88"/>
      <c r="X981" s="88"/>
      <c r="Y981" s="88"/>
      <c r="Z981" s="88"/>
      <c r="AA981" s="88"/>
      <c r="AB981" s="88"/>
      <c r="AC981" s="88"/>
      <c r="AD981" s="88"/>
      <c r="AE981" s="88"/>
    </row>
    <row r="982" spans="12:31" ht="15.75" customHeight="1" x14ac:dyDescent="0.3">
      <c r="L982" s="88"/>
      <c r="M982" s="88"/>
      <c r="N982" s="88"/>
      <c r="O982" s="88"/>
      <c r="P982" s="88"/>
      <c r="Q982" s="88"/>
      <c r="R982" s="88"/>
      <c r="S982" s="88"/>
      <c r="T982" s="88"/>
      <c r="U982" s="88"/>
      <c r="V982" s="88"/>
      <c r="W982" s="88"/>
      <c r="X982" s="88"/>
      <c r="Y982" s="88"/>
      <c r="Z982" s="88"/>
      <c r="AA982" s="88"/>
      <c r="AB982" s="88"/>
      <c r="AC982" s="88"/>
      <c r="AD982" s="88"/>
      <c r="AE982" s="88"/>
    </row>
    <row r="983" spans="12:31" ht="15.75" customHeight="1" x14ac:dyDescent="0.3">
      <c r="L983" s="88"/>
      <c r="M983" s="88"/>
      <c r="N983" s="88"/>
      <c r="O983" s="88"/>
      <c r="P983" s="88"/>
      <c r="Q983" s="88"/>
      <c r="R983" s="88"/>
      <c r="S983" s="88"/>
      <c r="T983" s="88"/>
      <c r="U983" s="88"/>
      <c r="V983" s="88"/>
      <c r="W983" s="88"/>
      <c r="X983" s="88"/>
      <c r="Y983" s="88"/>
      <c r="Z983" s="88"/>
      <c r="AA983" s="88"/>
      <c r="AB983" s="88"/>
      <c r="AC983" s="88"/>
      <c r="AD983" s="88"/>
      <c r="AE983" s="88"/>
    </row>
    <row r="984" spans="12:31" ht="15.75" customHeight="1" x14ac:dyDescent="0.3">
      <c r="L984" s="88"/>
      <c r="M984" s="88"/>
      <c r="N984" s="88"/>
      <c r="O984" s="88"/>
      <c r="P984" s="88"/>
      <c r="Q984" s="88"/>
      <c r="R984" s="88"/>
      <c r="S984" s="88"/>
      <c r="T984" s="88"/>
      <c r="U984" s="88"/>
      <c r="V984" s="88"/>
      <c r="W984" s="88"/>
      <c r="X984" s="88"/>
      <c r="Y984" s="88"/>
      <c r="Z984" s="88"/>
      <c r="AA984" s="88"/>
      <c r="AB984" s="88"/>
      <c r="AC984" s="88"/>
      <c r="AD984" s="88"/>
      <c r="AE984" s="88"/>
    </row>
    <row r="985" spans="12:31" ht="15.75" customHeight="1" x14ac:dyDescent="0.3">
      <c r="L985" s="88"/>
      <c r="M985" s="88"/>
      <c r="N985" s="88"/>
      <c r="O985" s="88"/>
      <c r="P985" s="88"/>
      <c r="Q985" s="88"/>
      <c r="R985" s="88"/>
      <c r="S985" s="88"/>
      <c r="T985" s="88"/>
      <c r="U985" s="88"/>
      <c r="V985" s="88"/>
      <c r="W985" s="88"/>
      <c r="X985" s="88"/>
      <c r="Y985" s="88"/>
      <c r="Z985" s="88"/>
      <c r="AA985" s="88"/>
      <c r="AB985" s="88"/>
      <c r="AC985" s="88"/>
      <c r="AD985" s="88"/>
      <c r="AE985" s="88"/>
    </row>
    <row r="986" spans="12:31" ht="15.75" customHeight="1" x14ac:dyDescent="0.3">
      <c r="L986" s="88"/>
      <c r="M986" s="88"/>
      <c r="N986" s="88"/>
      <c r="O986" s="88"/>
      <c r="P986" s="88"/>
      <c r="Q986" s="88"/>
      <c r="R986" s="88"/>
      <c r="S986" s="88"/>
      <c r="T986" s="88"/>
      <c r="U986" s="88"/>
      <c r="V986" s="88"/>
      <c r="W986" s="88"/>
      <c r="X986" s="88"/>
      <c r="Y986" s="88"/>
      <c r="Z986" s="88"/>
      <c r="AA986" s="88"/>
      <c r="AB986" s="88"/>
      <c r="AC986" s="88"/>
      <c r="AD986" s="88"/>
      <c r="AE986" s="88"/>
    </row>
    <row r="987" spans="12:31" ht="15.75" customHeight="1" x14ac:dyDescent="0.3">
      <c r="L987" s="88"/>
      <c r="M987" s="88"/>
      <c r="N987" s="88"/>
      <c r="O987" s="88"/>
      <c r="P987" s="88"/>
      <c r="Q987" s="88"/>
      <c r="R987" s="88"/>
      <c r="S987" s="88"/>
      <c r="T987" s="88"/>
      <c r="U987" s="88"/>
      <c r="V987" s="88"/>
      <c r="W987" s="88"/>
      <c r="X987" s="88"/>
      <c r="Y987" s="88"/>
      <c r="Z987" s="88"/>
      <c r="AA987" s="88"/>
      <c r="AB987" s="88"/>
      <c r="AC987" s="88"/>
      <c r="AD987" s="88"/>
      <c r="AE987" s="88"/>
    </row>
    <row r="988" spans="12:31" ht="15.75" customHeight="1" x14ac:dyDescent="0.3">
      <c r="L988" s="88"/>
      <c r="M988" s="88"/>
      <c r="N988" s="88"/>
      <c r="O988" s="88"/>
      <c r="P988" s="88"/>
      <c r="Q988" s="88"/>
      <c r="R988" s="88"/>
      <c r="S988" s="88"/>
      <c r="T988" s="88"/>
      <c r="U988" s="88"/>
      <c r="V988" s="88"/>
      <c r="W988" s="88"/>
      <c r="X988" s="88"/>
      <c r="Y988" s="88"/>
      <c r="Z988" s="88"/>
      <c r="AA988" s="88"/>
      <c r="AB988" s="88"/>
      <c r="AC988" s="88"/>
      <c r="AD988" s="88"/>
      <c r="AE988" s="88"/>
    </row>
    <row r="989" spans="12:31" ht="15.75" customHeight="1" x14ac:dyDescent="0.3">
      <c r="L989" s="88"/>
      <c r="M989" s="88"/>
      <c r="N989" s="88"/>
      <c r="O989" s="88"/>
      <c r="P989" s="88"/>
      <c r="Q989" s="88"/>
      <c r="R989" s="88"/>
      <c r="S989" s="88"/>
      <c r="T989" s="88"/>
      <c r="U989" s="88"/>
      <c r="V989" s="88"/>
      <c r="W989" s="88"/>
      <c r="X989" s="88"/>
      <c r="Y989" s="88"/>
      <c r="Z989" s="88"/>
      <c r="AA989" s="88"/>
      <c r="AB989" s="88"/>
      <c r="AC989" s="88"/>
      <c r="AD989" s="88"/>
      <c r="AE989" s="88"/>
    </row>
    <row r="990" spans="12:31" ht="15.75" customHeight="1" x14ac:dyDescent="0.3">
      <c r="L990" s="88"/>
      <c r="M990" s="88"/>
      <c r="N990" s="88"/>
      <c r="O990" s="88"/>
      <c r="P990" s="88"/>
      <c r="Q990" s="88"/>
      <c r="R990" s="88"/>
      <c r="S990" s="88"/>
      <c r="T990" s="88"/>
      <c r="U990" s="88"/>
      <c r="V990" s="88"/>
      <c r="W990" s="88"/>
      <c r="X990" s="88"/>
      <c r="Y990" s="88"/>
      <c r="Z990" s="88"/>
      <c r="AA990" s="88"/>
      <c r="AB990" s="88"/>
      <c r="AC990" s="88"/>
      <c r="AD990" s="88"/>
      <c r="AE990" s="88"/>
    </row>
    <row r="991" spans="12:31" ht="15.75" customHeight="1" x14ac:dyDescent="0.3">
      <c r="L991" s="88"/>
      <c r="M991" s="88"/>
      <c r="N991" s="88"/>
      <c r="O991" s="88"/>
      <c r="P991" s="88"/>
      <c r="Q991" s="88"/>
      <c r="R991" s="88"/>
      <c r="S991" s="88"/>
      <c r="T991" s="88"/>
      <c r="U991" s="88"/>
      <c r="V991" s="88"/>
      <c r="W991" s="88"/>
      <c r="X991" s="88"/>
      <c r="Y991" s="88"/>
      <c r="Z991" s="88"/>
      <c r="AA991" s="88"/>
      <c r="AB991" s="88"/>
      <c r="AC991" s="88"/>
      <c r="AD991" s="88"/>
      <c r="AE991" s="88"/>
    </row>
    <row r="992" spans="12:31" ht="15.75" customHeight="1" x14ac:dyDescent="0.3">
      <c r="L992" s="88"/>
      <c r="M992" s="88"/>
      <c r="N992" s="88"/>
      <c r="O992" s="88"/>
      <c r="P992" s="88"/>
      <c r="Q992" s="88"/>
      <c r="R992" s="88"/>
      <c r="S992" s="88"/>
      <c r="T992" s="88"/>
      <c r="U992" s="88"/>
      <c r="V992" s="88"/>
      <c r="W992" s="88"/>
      <c r="X992" s="88"/>
      <c r="Y992" s="88"/>
      <c r="Z992" s="88"/>
      <c r="AA992" s="88"/>
      <c r="AB992" s="88"/>
      <c r="AC992" s="88"/>
      <c r="AD992" s="88"/>
      <c r="AE992" s="88"/>
    </row>
    <row r="993" spans="12:31" ht="15.75" customHeight="1" x14ac:dyDescent="0.3">
      <c r="L993" s="88"/>
      <c r="M993" s="88"/>
      <c r="N993" s="88"/>
      <c r="O993" s="88"/>
      <c r="P993" s="88"/>
      <c r="Q993" s="88"/>
      <c r="R993" s="88"/>
      <c r="S993" s="88"/>
      <c r="T993" s="88"/>
      <c r="U993" s="88"/>
      <c r="V993" s="88"/>
      <c r="W993" s="88"/>
      <c r="X993" s="88"/>
      <c r="Y993" s="88"/>
      <c r="Z993" s="88"/>
      <c r="AA993" s="88"/>
      <c r="AB993" s="88"/>
      <c r="AC993" s="88"/>
      <c r="AD993" s="88"/>
      <c r="AE993" s="88"/>
    </row>
    <row r="994" spans="12:31" ht="15.75" customHeight="1" x14ac:dyDescent="0.3">
      <c r="L994" s="88"/>
      <c r="M994" s="88"/>
      <c r="N994" s="88"/>
      <c r="O994" s="88"/>
      <c r="P994" s="88"/>
      <c r="Q994" s="88"/>
      <c r="R994" s="88"/>
      <c r="S994" s="88"/>
      <c r="T994" s="88"/>
      <c r="U994" s="88"/>
      <c r="V994" s="88"/>
      <c r="W994" s="88"/>
      <c r="X994" s="88"/>
      <c r="Y994" s="88"/>
      <c r="Z994" s="88"/>
      <c r="AA994" s="88"/>
      <c r="AB994" s="88"/>
      <c r="AC994" s="88"/>
      <c r="AD994" s="88"/>
      <c r="AE994" s="88"/>
    </row>
    <row r="995" spans="12:31" ht="15.75" customHeight="1" x14ac:dyDescent="0.3">
      <c r="L995" s="88"/>
      <c r="M995" s="88"/>
      <c r="N995" s="88"/>
      <c r="O995" s="88"/>
      <c r="P995" s="88"/>
      <c r="Q995" s="88"/>
      <c r="R995" s="88"/>
      <c r="S995" s="88"/>
      <c r="T995" s="88"/>
      <c r="U995" s="88"/>
      <c r="V995" s="88"/>
      <c r="W995" s="88"/>
      <c r="X995" s="88"/>
      <c r="Y995" s="88"/>
      <c r="Z995" s="88"/>
      <c r="AA995" s="88"/>
      <c r="AB995" s="88"/>
      <c r="AC995" s="88"/>
      <c r="AD995" s="88"/>
      <c r="AE995" s="88"/>
    </row>
    <row r="996" spans="12:31" ht="15.75" customHeight="1" x14ac:dyDescent="0.3">
      <c r="L996" s="88"/>
      <c r="M996" s="88"/>
      <c r="N996" s="88"/>
      <c r="O996" s="88"/>
      <c r="P996" s="88"/>
      <c r="Q996" s="88"/>
      <c r="R996" s="88"/>
      <c r="S996" s="88"/>
      <c r="T996" s="88"/>
      <c r="U996" s="88"/>
      <c r="V996" s="88"/>
      <c r="W996" s="88"/>
      <c r="X996" s="88"/>
      <c r="Y996" s="88"/>
      <c r="Z996" s="88"/>
      <c r="AA996" s="88"/>
      <c r="AB996" s="88"/>
      <c r="AC996" s="88"/>
      <c r="AD996" s="88"/>
      <c r="AE996" s="88"/>
    </row>
    <row r="997" spans="12:31" ht="15.75" customHeight="1" x14ac:dyDescent="0.3">
      <c r="L997" s="88"/>
      <c r="M997" s="88"/>
      <c r="N997" s="88"/>
      <c r="O997" s="88"/>
      <c r="P997" s="88"/>
      <c r="Q997" s="88"/>
      <c r="R997" s="88"/>
      <c r="S997" s="88"/>
      <c r="T997" s="88"/>
      <c r="U997" s="88"/>
      <c r="V997" s="88"/>
      <c r="W997" s="88"/>
      <c r="X997" s="88"/>
      <c r="Y997" s="88"/>
      <c r="Z997" s="88"/>
      <c r="AA997" s="88"/>
      <c r="AB997" s="88"/>
      <c r="AC997" s="88"/>
      <c r="AD997" s="88"/>
      <c r="AE997" s="88"/>
    </row>
    <row r="998" spans="12:31" ht="15.75" customHeight="1" x14ac:dyDescent="0.3">
      <c r="L998" s="88"/>
      <c r="M998" s="88"/>
      <c r="N998" s="88"/>
      <c r="O998" s="88"/>
      <c r="P998" s="88"/>
      <c r="Q998" s="88"/>
      <c r="R998" s="88"/>
      <c r="S998" s="88"/>
      <c r="T998" s="88"/>
      <c r="U998" s="88"/>
      <c r="V998" s="88"/>
      <c r="W998" s="88"/>
      <c r="X998" s="88"/>
      <c r="Y998" s="88"/>
      <c r="Z998" s="88"/>
      <c r="AA998" s="88"/>
      <c r="AB998" s="88"/>
      <c r="AC998" s="88"/>
      <c r="AD998" s="88"/>
      <c r="AE998" s="88"/>
    </row>
    <row r="999" spans="12:31" ht="15.75" customHeight="1" x14ac:dyDescent="0.3">
      <c r="L999" s="88"/>
      <c r="M999" s="88"/>
      <c r="N999" s="88"/>
      <c r="O999" s="88"/>
      <c r="P999" s="88"/>
      <c r="Q999" s="88"/>
      <c r="R999" s="88"/>
      <c r="S999" s="88"/>
      <c r="T999" s="88"/>
      <c r="U999" s="88"/>
      <c r="V999" s="88"/>
      <c r="W999" s="88"/>
      <c r="X999" s="88"/>
      <c r="Y999" s="88"/>
      <c r="Z999" s="88"/>
      <c r="AA999" s="88"/>
      <c r="AB999" s="88"/>
      <c r="AC999" s="88"/>
      <c r="AD999" s="88"/>
      <c r="AE999" s="88"/>
    </row>
    <row r="1000" spans="12:31" ht="15.75" customHeight="1" x14ac:dyDescent="0.3">
      <c r="L1000" s="88"/>
      <c r="M1000" s="88"/>
      <c r="N1000" s="88"/>
      <c r="O1000" s="88"/>
      <c r="P1000" s="88"/>
      <c r="Q1000" s="88"/>
      <c r="R1000" s="88"/>
      <c r="S1000" s="88"/>
      <c r="T1000" s="88"/>
      <c r="U1000" s="88"/>
      <c r="V1000" s="88"/>
      <c r="W1000" s="88"/>
      <c r="X1000" s="88"/>
      <c r="Y1000" s="88"/>
      <c r="Z1000" s="88"/>
      <c r="AA1000" s="88"/>
      <c r="AB1000" s="88"/>
      <c r="AC1000" s="88"/>
      <c r="AD1000" s="88"/>
      <c r="AE1000" s="88"/>
    </row>
  </sheetData>
  <mergeCells count="44">
    <mergeCell ref="H35:I35"/>
    <mergeCell ref="J35:K35"/>
    <mergeCell ref="H24:I24"/>
    <mergeCell ref="H28:I28"/>
    <mergeCell ref="H31:I31"/>
    <mergeCell ref="J32:J33"/>
    <mergeCell ref="K32:K33"/>
    <mergeCell ref="J25:J26"/>
    <mergeCell ref="K25:K26"/>
    <mergeCell ref="J28:K28"/>
    <mergeCell ref="J36:J37"/>
    <mergeCell ref="K36:K37"/>
    <mergeCell ref="B27:K27"/>
    <mergeCell ref="B30:K30"/>
    <mergeCell ref="J31:K31"/>
    <mergeCell ref="B34:K34"/>
    <mergeCell ref="J12:J13"/>
    <mergeCell ref="K12:K13"/>
    <mergeCell ref="B14:K14"/>
    <mergeCell ref="J15:K15"/>
    <mergeCell ref="J16:J17"/>
    <mergeCell ref="K16:K17"/>
    <mergeCell ref="B18:K18"/>
    <mergeCell ref="H15:I15"/>
    <mergeCell ref="H19:I19"/>
    <mergeCell ref="J20:J22"/>
    <mergeCell ref="K20:K22"/>
    <mergeCell ref="J24:K24"/>
    <mergeCell ref="B10:K10"/>
    <mergeCell ref="H11:I11"/>
    <mergeCell ref="J11:K11"/>
    <mergeCell ref="J19:K19"/>
    <mergeCell ref="B23:K23"/>
    <mergeCell ref="B6:K6"/>
    <mergeCell ref="H7:I7"/>
    <mergeCell ref="J7:K7"/>
    <mergeCell ref="J8:J9"/>
    <mergeCell ref="K8:K9"/>
    <mergeCell ref="A1:K1"/>
    <mergeCell ref="B2:K2"/>
    <mergeCell ref="H3:I3"/>
    <mergeCell ref="J3:K3"/>
    <mergeCell ref="J4:J5"/>
    <mergeCell ref="K4:K5"/>
  </mergeCells>
  <dataValidations count="1">
    <dataValidation type="decimal" allowBlank="1" showErrorMessage="1" sqref="G4:G5 G8:G9 G12:G13 G16:G17 G20:G22 G25:G26 G29 G32:G33 G36:G37" xr:uid="{00000000-0002-0000-0400-000000000000}">
      <formula1>0</formula1>
      <formula2>100</formula2>
    </dataValidation>
  </dataValidation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baseColWidth="10" defaultColWidth="14.44140625" defaultRowHeight="15" customHeight="1" x14ac:dyDescent="0.3"/>
  <cols>
    <col min="1" max="1" width="18.6640625" customWidth="1"/>
    <col min="2" max="2" width="106.6640625" customWidth="1"/>
    <col min="3" max="4" width="28.44140625" customWidth="1"/>
    <col min="5" max="5" width="33.6640625" customWidth="1"/>
    <col min="6" max="6" width="48.6640625" customWidth="1"/>
    <col min="7" max="7" width="42.33203125" customWidth="1"/>
    <col min="8" max="8" width="37.44140625" customWidth="1"/>
    <col min="9" max="10" width="30.33203125" customWidth="1"/>
    <col min="11" max="11" width="34.6640625" customWidth="1"/>
    <col min="12" max="26" width="11.44140625" customWidth="1"/>
  </cols>
  <sheetData>
    <row r="1" spans="1:26" ht="34.5" customHeight="1" x14ac:dyDescent="0.3">
      <c r="A1" s="174" t="s">
        <v>304</v>
      </c>
      <c r="B1" s="152"/>
      <c r="C1" s="152"/>
      <c r="D1" s="152"/>
      <c r="E1" s="152"/>
      <c r="F1" s="152"/>
      <c r="G1" s="152"/>
      <c r="H1" s="152"/>
      <c r="I1" s="152"/>
      <c r="J1" s="152"/>
      <c r="K1" s="153"/>
      <c r="L1" s="1"/>
      <c r="M1" s="1"/>
      <c r="N1" s="1"/>
      <c r="O1" s="1"/>
      <c r="P1" s="1"/>
      <c r="Q1" s="1"/>
      <c r="R1" s="1"/>
      <c r="S1" s="1"/>
      <c r="T1" s="1"/>
      <c r="U1" s="1"/>
      <c r="V1" s="1"/>
      <c r="W1" s="1"/>
      <c r="X1" s="1"/>
      <c r="Y1" s="1"/>
      <c r="Z1" s="1"/>
    </row>
    <row r="2" spans="1:26" ht="22.5" customHeight="1" x14ac:dyDescent="0.3">
      <c r="A2" s="98" t="s">
        <v>305</v>
      </c>
      <c r="B2" s="175" t="s">
        <v>306</v>
      </c>
      <c r="C2" s="152"/>
      <c r="D2" s="152"/>
      <c r="E2" s="152"/>
      <c r="F2" s="152"/>
      <c r="G2" s="152"/>
      <c r="H2" s="152"/>
      <c r="I2" s="152"/>
      <c r="J2" s="152"/>
      <c r="K2" s="153"/>
      <c r="L2" s="99"/>
      <c r="M2" s="99"/>
      <c r="N2" s="99"/>
      <c r="O2" s="99"/>
      <c r="P2" s="99"/>
      <c r="Q2" s="99"/>
      <c r="R2" s="99"/>
      <c r="S2" s="99"/>
      <c r="T2" s="99"/>
      <c r="U2" s="99"/>
      <c r="V2" s="99"/>
      <c r="W2" s="99"/>
      <c r="X2" s="99"/>
      <c r="Y2" s="99"/>
      <c r="Z2" s="99"/>
    </row>
    <row r="3" spans="1:26" ht="21" customHeight="1" x14ac:dyDescent="0.3">
      <c r="A3" s="14" t="s">
        <v>3</v>
      </c>
      <c r="B3" s="15" t="s">
        <v>4</v>
      </c>
      <c r="C3" s="14" t="s">
        <v>5</v>
      </c>
      <c r="D3" s="15" t="s">
        <v>6</v>
      </c>
      <c r="E3" s="15" t="s">
        <v>7</v>
      </c>
      <c r="F3" s="15" t="s">
        <v>8</v>
      </c>
      <c r="G3" s="43" t="s">
        <v>9</v>
      </c>
      <c r="H3" s="165" t="s">
        <v>10</v>
      </c>
      <c r="I3" s="153"/>
      <c r="J3" s="156" t="s">
        <v>11</v>
      </c>
      <c r="K3" s="153"/>
      <c r="L3" s="6"/>
      <c r="M3" s="6"/>
      <c r="N3" s="6"/>
      <c r="O3" s="6"/>
      <c r="P3" s="6"/>
      <c r="Q3" s="6"/>
      <c r="R3" s="6"/>
      <c r="S3" s="6"/>
      <c r="T3" s="6"/>
      <c r="U3" s="6"/>
      <c r="V3" s="6"/>
      <c r="W3" s="6"/>
      <c r="X3" s="6"/>
      <c r="Y3" s="6"/>
      <c r="Z3" s="6"/>
    </row>
    <row r="4" spans="1:26" ht="242.25" customHeight="1" x14ac:dyDescent="0.3">
      <c r="A4" s="7" t="s">
        <v>307</v>
      </c>
      <c r="B4" s="81" t="s">
        <v>308</v>
      </c>
      <c r="C4" s="9" t="s">
        <v>14</v>
      </c>
      <c r="D4" s="17" t="s">
        <v>309</v>
      </c>
      <c r="E4" s="18" t="s">
        <v>310</v>
      </c>
      <c r="F4" s="11" t="s">
        <v>311</v>
      </c>
      <c r="G4" s="12">
        <v>90</v>
      </c>
      <c r="H4" s="12" t="str">
        <f>IF(G4&lt;=30,"No se cumple",IF(G4&lt;=59,"Se cumple insatisfactoriamente",IF(G4&lt;=79,"Se cumple aceptablemente",IF(G4&lt;=89,"Se cumple en alto grado",IF(G4&gt;=90,"Se cumple plenamente","EROR")))))</f>
        <v>Se cumple plenamente</v>
      </c>
      <c r="I4" s="12" t="str">
        <f>IF(G4&lt;=59,"Debilidad",IF(G4&lt;=79,"Oportunidad",IF(G4&gt;=80,"Fortaleza","EROR")))</f>
        <v>Fortaleza</v>
      </c>
      <c r="J4" s="13">
        <f>(G4)/1</f>
        <v>90</v>
      </c>
      <c r="K4" s="12" t="str">
        <f>IF(J4&lt;=30,"No se cumple",IF(J4&lt;=59,"Se cumple insatisfactoriamente",IF(J4&lt;=79,"Se cumple aceptablemente",IF(J4&lt;=89,"Se cumple en alto grado",IF(J4&gt;=90,"Se cumple plenamente","EROR")))))</f>
        <v>Se cumple plenamente</v>
      </c>
      <c r="L4" s="1"/>
      <c r="M4" s="1"/>
      <c r="N4" s="1"/>
      <c r="O4" s="1"/>
      <c r="P4" s="1"/>
      <c r="Q4" s="1"/>
      <c r="R4" s="1"/>
      <c r="S4" s="1"/>
      <c r="T4" s="1"/>
      <c r="U4" s="1"/>
      <c r="V4" s="1"/>
      <c r="W4" s="1"/>
      <c r="X4" s="1"/>
      <c r="Y4" s="1"/>
      <c r="Z4" s="1"/>
    </row>
    <row r="5" spans="1:26" ht="19.5" customHeight="1" x14ac:dyDescent="0.3">
      <c r="A5" s="2" t="s">
        <v>312</v>
      </c>
      <c r="B5" s="176" t="s">
        <v>313</v>
      </c>
      <c r="C5" s="152"/>
      <c r="D5" s="152"/>
      <c r="E5" s="152"/>
      <c r="F5" s="152"/>
      <c r="G5" s="152"/>
      <c r="H5" s="152"/>
      <c r="I5" s="152"/>
      <c r="J5" s="152"/>
      <c r="K5" s="153"/>
      <c r="L5" s="1"/>
      <c r="M5" s="1"/>
      <c r="N5" s="1"/>
      <c r="O5" s="1"/>
      <c r="P5" s="1"/>
      <c r="Q5" s="1"/>
      <c r="R5" s="1"/>
      <c r="S5" s="1"/>
      <c r="T5" s="1"/>
      <c r="U5" s="1"/>
      <c r="V5" s="1"/>
      <c r="W5" s="1"/>
      <c r="X5" s="1"/>
      <c r="Y5" s="1"/>
      <c r="Z5" s="1"/>
    </row>
    <row r="6" spans="1:26" ht="21" customHeight="1" x14ac:dyDescent="0.3">
      <c r="A6" s="14" t="s">
        <v>3</v>
      </c>
      <c r="B6" s="15" t="s">
        <v>4</v>
      </c>
      <c r="C6" s="14" t="s">
        <v>5</v>
      </c>
      <c r="D6" s="15" t="s">
        <v>6</v>
      </c>
      <c r="E6" s="15" t="s">
        <v>7</v>
      </c>
      <c r="F6" s="15" t="s">
        <v>8</v>
      </c>
      <c r="G6" s="43" t="s">
        <v>9</v>
      </c>
      <c r="H6" s="165" t="s">
        <v>10</v>
      </c>
      <c r="I6" s="153"/>
      <c r="J6" s="156" t="s">
        <v>11</v>
      </c>
      <c r="K6" s="153"/>
      <c r="L6" s="6"/>
      <c r="M6" s="6"/>
      <c r="N6" s="6"/>
      <c r="O6" s="6"/>
      <c r="P6" s="6"/>
      <c r="Q6" s="6"/>
      <c r="R6" s="6"/>
      <c r="S6" s="6"/>
      <c r="T6" s="6"/>
      <c r="U6" s="6"/>
      <c r="V6" s="6"/>
      <c r="W6" s="6"/>
      <c r="X6" s="6"/>
      <c r="Y6" s="6"/>
      <c r="Z6" s="6"/>
    </row>
    <row r="7" spans="1:26" ht="137.25" customHeight="1" x14ac:dyDescent="0.3">
      <c r="A7" s="7" t="s">
        <v>314</v>
      </c>
      <c r="B7" s="81" t="s">
        <v>315</v>
      </c>
      <c r="C7" s="17" t="s">
        <v>32</v>
      </c>
      <c r="D7" s="17" t="s">
        <v>316</v>
      </c>
      <c r="E7" s="18" t="s">
        <v>310</v>
      </c>
      <c r="F7" s="100" t="s">
        <v>317</v>
      </c>
      <c r="G7" s="12">
        <v>95</v>
      </c>
      <c r="H7" s="12" t="str">
        <f t="shared" ref="H7:H9" si="0">IF(G7&lt;=30,"No se cumple",IF(G7&lt;=59,"Se cumple insatisfactoriamente",IF(G7&lt;=79,"Se cumple aceptablemente",IF(G7&lt;=89,"Se cumple en alto grado",IF(G7&gt;=90,"Se cumple plenamente","EROR")))))</f>
        <v>Se cumple plenamente</v>
      </c>
      <c r="I7" s="12" t="str">
        <f t="shared" ref="I7:I9" si="1">IF(G7&lt;=59,"Debilidad",IF(G7&lt;=79,"Oportunidad",IF(G7&gt;=80,"Fortaleza","EROR")))</f>
        <v>Fortaleza</v>
      </c>
      <c r="J7" s="146">
        <f>(G7+G8+G9)/3</f>
        <v>95</v>
      </c>
      <c r="K7" s="146" t="str">
        <f>IF(J7&lt;=30,"No se cumple",IF(J7&lt;=59,"Se cumple insatisfactoriamente",IF(J7&lt;=79,"Se cumple aceptablemente",IF(J7&lt;=89,"Se cumple en alto grado",IF(J7&gt;=90,"Se cumple plenamente","EROR")))))</f>
        <v>Se cumple plenamente</v>
      </c>
      <c r="L7" s="1"/>
      <c r="M7" s="1"/>
      <c r="N7" s="1"/>
      <c r="O7" s="1"/>
      <c r="P7" s="1"/>
      <c r="Q7" s="1"/>
      <c r="R7" s="1"/>
      <c r="S7" s="1"/>
      <c r="T7" s="1"/>
      <c r="U7" s="1"/>
      <c r="V7" s="1"/>
      <c r="W7" s="1"/>
      <c r="X7" s="1"/>
      <c r="Y7" s="1"/>
      <c r="Z7" s="1"/>
    </row>
    <row r="8" spans="1:26" ht="201" customHeight="1" x14ac:dyDescent="0.3">
      <c r="A8" s="29" t="s">
        <v>318</v>
      </c>
      <c r="B8" s="91" t="s">
        <v>319</v>
      </c>
      <c r="C8" s="32" t="s">
        <v>120</v>
      </c>
      <c r="D8" s="32" t="s">
        <v>320</v>
      </c>
      <c r="E8" s="32" t="s">
        <v>42</v>
      </c>
      <c r="F8" s="37" t="s">
        <v>321</v>
      </c>
      <c r="G8" s="38">
        <v>95</v>
      </c>
      <c r="H8" s="38" t="str">
        <f t="shared" si="0"/>
        <v>Se cumple plenamente</v>
      </c>
      <c r="I8" s="38" t="str">
        <f t="shared" si="1"/>
        <v>Fortaleza</v>
      </c>
      <c r="J8" s="147"/>
      <c r="K8" s="147"/>
      <c r="L8" s="87"/>
      <c r="M8" s="87"/>
      <c r="N8" s="87"/>
      <c r="O8" s="87"/>
      <c r="P8" s="87"/>
      <c r="Q8" s="87"/>
      <c r="R8" s="87"/>
      <c r="S8" s="87"/>
      <c r="T8" s="87"/>
      <c r="U8" s="87"/>
      <c r="V8" s="87"/>
      <c r="W8" s="87"/>
      <c r="X8" s="87"/>
      <c r="Y8" s="87"/>
      <c r="Z8" s="87"/>
    </row>
    <row r="9" spans="1:26" ht="204" customHeight="1" x14ac:dyDescent="0.3">
      <c r="A9" s="7" t="s">
        <v>322</v>
      </c>
      <c r="B9" s="101" t="s">
        <v>323</v>
      </c>
      <c r="C9" s="102" t="s">
        <v>324</v>
      </c>
      <c r="D9" s="17" t="s">
        <v>309</v>
      </c>
      <c r="E9" s="103" t="s">
        <v>310</v>
      </c>
      <c r="F9" s="104" t="s">
        <v>325</v>
      </c>
      <c r="G9" s="13">
        <v>95</v>
      </c>
      <c r="H9" s="12" t="str">
        <f t="shared" si="0"/>
        <v>Se cumple plenamente</v>
      </c>
      <c r="I9" s="12" t="str">
        <f t="shared" si="1"/>
        <v>Fortaleza</v>
      </c>
      <c r="J9" s="148"/>
      <c r="K9" s="148"/>
      <c r="L9" s="1"/>
      <c r="M9" s="1"/>
      <c r="N9" s="1"/>
      <c r="O9" s="1"/>
      <c r="P9" s="1"/>
      <c r="Q9" s="1"/>
      <c r="R9" s="1"/>
      <c r="S9" s="1"/>
      <c r="T9" s="1"/>
      <c r="U9" s="1"/>
      <c r="V9" s="1"/>
      <c r="W9" s="1"/>
      <c r="X9" s="1"/>
      <c r="Y9" s="1"/>
      <c r="Z9" s="1"/>
    </row>
    <row r="10" spans="1:26" ht="20.25" customHeight="1" x14ac:dyDescent="0.3">
      <c r="A10" s="105" t="s">
        <v>326</v>
      </c>
      <c r="B10" s="175" t="s">
        <v>327</v>
      </c>
      <c r="C10" s="152"/>
      <c r="D10" s="152"/>
      <c r="E10" s="152"/>
      <c r="F10" s="152"/>
      <c r="G10" s="152"/>
      <c r="H10" s="152"/>
      <c r="I10" s="152"/>
      <c r="J10" s="152"/>
      <c r="K10" s="153"/>
      <c r="L10" s="99"/>
      <c r="M10" s="99"/>
      <c r="N10" s="99"/>
      <c r="O10" s="99"/>
      <c r="P10" s="99"/>
      <c r="Q10" s="99"/>
      <c r="R10" s="99"/>
      <c r="S10" s="99"/>
      <c r="T10" s="99"/>
      <c r="U10" s="99"/>
      <c r="V10" s="99"/>
      <c r="W10" s="99"/>
      <c r="X10" s="99"/>
      <c r="Y10" s="99"/>
      <c r="Z10" s="99"/>
    </row>
    <row r="11" spans="1:26" ht="21" customHeight="1" x14ac:dyDescent="0.3">
      <c r="A11" s="14" t="s">
        <v>3</v>
      </c>
      <c r="B11" s="15" t="s">
        <v>4</v>
      </c>
      <c r="C11" s="14" t="s">
        <v>5</v>
      </c>
      <c r="D11" s="15" t="s">
        <v>6</v>
      </c>
      <c r="E11" s="15" t="s">
        <v>7</v>
      </c>
      <c r="F11" s="15" t="s">
        <v>8</v>
      </c>
      <c r="G11" s="43" t="s">
        <v>9</v>
      </c>
      <c r="H11" s="165" t="s">
        <v>10</v>
      </c>
      <c r="I11" s="153"/>
      <c r="J11" s="156" t="s">
        <v>11</v>
      </c>
      <c r="K11" s="153"/>
      <c r="L11" s="6"/>
      <c r="M11" s="6"/>
      <c r="N11" s="6"/>
      <c r="O11" s="6"/>
      <c r="P11" s="6"/>
      <c r="Q11" s="6"/>
      <c r="R11" s="6"/>
      <c r="S11" s="6"/>
      <c r="T11" s="6"/>
      <c r="U11" s="6"/>
      <c r="V11" s="6"/>
      <c r="W11" s="6"/>
      <c r="X11" s="6"/>
      <c r="Y11" s="6"/>
      <c r="Z11" s="6"/>
    </row>
    <row r="12" spans="1:26" ht="290.25" customHeight="1" x14ac:dyDescent="0.3">
      <c r="A12" s="7" t="s">
        <v>328</v>
      </c>
      <c r="B12" s="81" t="s">
        <v>329</v>
      </c>
      <c r="C12" s="9" t="s">
        <v>287</v>
      </c>
      <c r="D12" s="106" t="s">
        <v>217</v>
      </c>
      <c r="E12" s="100" t="s">
        <v>330</v>
      </c>
      <c r="F12" s="11" t="s">
        <v>331</v>
      </c>
      <c r="G12" s="12">
        <v>95</v>
      </c>
      <c r="H12" s="12" t="str">
        <f>IF(G12&lt;=30,"No se cumple",IF(G12&lt;=59,"Se cumple insatisfactoriamente",IF(G12&lt;=79,"Se cumple aceptablemente",IF(G12&lt;=89,"Se cumple en alto grado",IF(G12&gt;=90,"Se cumple plenamente","EROR")))))</f>
        <v>Se cumple plenamente</v>
      </c>
      <c r="I12" s="12" t="str">
        <f>IF(G12&lt;=59,"Debilidad",IF(G12&lt;=79,"Oportunidad",IF(G12&gt;=80,"Fortaleza","EROR")))</f>
        <v>Fortaleza</v>
      </c>
      <c r="J12" s="13">
        <f>(G12)/1</f>
        <v>95</v>
      </c>
      <c r="K12" s="12" t="str">
        <f>IF(J12&lt;=30,"No se cumple",IF(J12&lt;=59,"Se cumple insatisfactoriamente",IF(J12&lt;=79,"Se cumple aceptablemente",IF(J12&lt;=89,"Se cumple en alto grado",IF(J12&gt;=90,"Se cumple plenamente","EROR")))))</f>
        <v>Se cumple plenamente</v>
      </c>
      <c r="L12" s="1"/>
      <c r="M12" s="1"/>
      <c r="N12" s="1"/>
      <c r="O12" s="1"/>
      <c r="P12" s="1"/>
      <c r="Q12" s="1"/>
      <c r="R12" s="1"/>
      <c r="S12" s="1"/>
      <c r="T12" s="1"/>
      <c r="U12" s="1"/>
      <c r="V12" s="1"/>
      <c r="W12" s="1"/>
      <c r="X12" s="1"/>
      <c r="Y12" s="1"/>
      <c r="Z12" s="1"/>
    </row>
    <row r="13" spans="1:26" ht="21" customHeight="1" x14ac:dyDescent="0.3">
      <c r="A13" s="105" t="s">
        <v>332</v>
      </c>
      <c r="B13" s="175" t="s">
        <v>333</v>
      </c>
      <c r="C13" s="152"/>
      <c r="D13" s="152"/>
      <c r="E13" s="152"/>
      <c r="F13" s="152"/>
      <c r="G13" s="152"/>
      <c r="H13" s="152"/>
      <c r="I13" s="152"/>
      <c r="J13" s="152"/>
      <c r="K13" s="153"/>
      <c r="L13" s="99"/>
      <c r="M13" s="99"/>
      <c r="N13" s="99"/>
      <c r="O13" s="99"/>
      <c r="P13" s="99"/>
      <c r="Q13" s="99"/>
      <c r="R13" s="99"/>
      <c r="S13" s="99"/>
      <c r="T13" s="99"/>
      <c r="U13" s="99"/>
      <c r="V13" s="99"/>
      <c r="W13" s="99"/>
      <c r="X13" s="99"/>
      <c r="Y13" s="99"/>
      <c r="Z13" s="99"/>
    </row>
    <row r="14" spans="1:26" ht="21" customHeight="1" x14ac:dyDescent="0.3">
      <c r="A14" s="14" t="s">
        <v>3</v>
      </c>
      <c r="B14" s="15" t="s">
        <v>4</v>
      </c>
      <c r="C14" s="14" t="s">
        <v>5</v>
      </c>
      <c r="D14" s="14"/>
      <c r="E14" s="15" t="s">
        <v>7</v>
      </c>
      <c r="F14" s="15" t="s">
        <v>8</v>
      </c>
      <c r="G14" s="43" t="s">
        <v>9</v>
      </c>
      <c r="H14" s="165" t="s">
        <v>10</v>
      </c>
      <c r="I14" s="153"/>
      <c r="J14" s="156" t="s">
        <v>11</v>
      </c>
      <c r="K14" s="153"/>
      <c r="L14" s="6"/>
      <c r="M14" s="6"/>
      <c r="N14" s="6"/>
      <c r="O14" s="6"/>
      <c r="P14" s="6"/>
      <c r="Q14" s="6"/>
      <c r="R14" s="6"/>
      <c r="S14" s="6"/>
      <c r="T14" s="6"/>
      <c r="U14" s="6"/>
      <c r="V14" s="6"/>
      <c r="W14" s="6"/>
      <c r="X14" s="6"/>
      <c r="Y14" s="6"/>
      <c r="Z14" s="6"/>
    </row>
    <row r="15" spans="1:26" ht="161.25" customHeight="1" x14ac:dyDescent="0.3">
      <c r="A15" s="7" t="s">
        <v>334</v>
      </c>
      <c r="B15" s="81" t="s">
        <v>335</v>
      </c>
      <c r="C15" s="9" t="s">
        <v>32</v>
      </c>
      <c r="D15" s="17" t="s">
        <v>336</v>
      </c>
      <c r="E15" s="18" t="s">
        <v>337</v>
      </c>
      <c r="F15" s="11" t="s">
        <v>338</v>
      </c>
      <c r="G15" s="12">
        <v>96</v>
      </c>
      <c r="H15" s="12" t="str">
        <f t="shared" ref="H15:H16" si="2">IF(G15&lt;=30,"No se cumple",IF(G15&lt;=59,"Se cumple insatisfactoriamente",IF(G15&lt;=79,"Se cumple aceptablemente",IF(G15&lt;=89,"Se cumple en alto grado",IF(G15&gt;=90,"Se cumple plenamente","EROR")))))</f>
        <v>Se cumple plenamente</v>
      </c>
      <c r="I15" s="12" t="str">
        <f t="shared" ref="I15:I16" si="3">IF(G15&lt;=59,"Debilidad",IF(G15&lt;=79,"Oportunidad",IF(G15&gt;=80,"Fortaleza","EROR")))</f>
        <v>Fortaleza</v>
      </c>
      <c r="J15" s="146">
        <f>(G15+G16)/2</f>
        <v>93</v>
      </c>
      <c r="K15" s="146" t="str">
        <f>IF(J15&lt;=30,"No se cumple",IF(J15&lt;=59,"Se cumple insatisfactoriamente",IF(J15&lt;=79,"Se cumple aceptablemente",IF(J15&lt;=89,"Se cumple en alto grado",IF(J15&gt;=90,"Se cumple plenamente","EROR")))))</f>
        <v>Se cumple plenamente</v>
      </c>
      <c r="L15" s="1"/>
      <c r="M15" s="1"/>
      <c r="N15" s="1"/>
      <c r="O15" s="1"/>
      <c r="P15" s="1"/>
      <c r="Q15" s="1"/>
      <c r="R15" s="1"/>
      <c r="S15" s="1"/>
      <c r="T15" s="1"/>
      <c r="U15" s="1"/>
      <c r="V15" s="1"/>
      <c r="W15" s="1"/>
      <c r="X15" s="1"/>
      <c r="Y15" s="1"/>
      <c r="Z15" s="1"/>
    </row>
    <row r="16" spans="1:26" ht="195" customHeight="1" x14ac:dyDescent="0.3">
      <c r="A16" s="7" t="s">
        <v>339</v>
      </c>
      <c r="B16" s="16" t="s">
        <v>340</v>
      </c>
      <c r="C16" s="9" t="s">
        <v>341</v>
      </c>
      <c r="D16" s="17" t="s">
        <v>217</v>
      </c>
      <c r="E16" s="10" t="s">
        <v>342</v>
      </c>
      <c r="F16" s="11" t="s">
        <v>343</v>
      </c>
      <c r="G16" s="12">
        <v>90</v>
      </c>
      <c r="H16" s="12" t="str">
        <f t="shared" si="2"/>
        <v>Se cumple plenamente</v>
      </c>
      <c r="I16" s="12" t="str">
        <f t="shared" si="3"/>
        <v>Fortaleza</v>
      </c>
      <c r="J16" s="148"/>
      <c r="K16" s="148"/>
      <c r="L16" s="1"/>
      <c r="M16" s="1"/>
      <c r="N16" s="1"/>
      <c r="O16" s="1"/>
      <c r="P16" s="1"/>
      <c r="Q16" s="1"/>
      <c r="R16" s="1"/>
      <c r="S16" s="1"/>
      <c r="T16" s="1"/>
      <c r="U16" s="1"/>
      <c r="V16" s="1"/>
      <c r="W16" s="1"/>
      <c r="X16" s="1"/>
      <c r="Y16" s="1"/>
      <c r="Z16" s="1"/>
    </row>
    <row r="17" spans="1:26" ht="13.5" customHeight="1" x14ac:dyDescent="0.3">
      <c r="A17" s="107"/>
      <c r="B17" s="108"/>
      <c r="C17" s="109"/>
      <c r="D17" s="109"/>
      <c r="E17" s="1"/>
      <c r="F17" s="1"/>
      <c r="G17" s="1"/>
      <c r="H17" s="1"/>
      <c r="I17" s="1"/>
      <c r="J17" s="1"/>
      <c r="K17" s="1"/>
      <c r="L17" s="1"/>
      <c r="M17" s="1"/>
      <c r="N17" s="1"/>
      <c r="O17" s="1"/>
      <c r="P17" s="1"/>
      <c r="Q17" s="1"/>
      <c r="R17" s="1"/>
      <c r="S17" s="1"/>
      <c r="T17" s="1"/>
      <c r="U17" s="1"/>
      <c r="V17" s="1"/>
      <c r="W17" s="1"/>
      <c r="X17" s="1"/>
      <c r="Y17" s="1"/>
      <c r="Z17" s="1"/>
    </row>
    <row r="18" spans="1:26" ht="13.5" customHeight="1"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3.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3.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3.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3.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3.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7">
    <mergeCell ref="H6:I6"/>
    <mergeCell ref="J6:K6"/>
    <mergeCell ref="J14:K14"/>
    <mergeCell ref="J15:J16"/>
    <mergeCell ref="K15:K16"/>
    <mergeCell ref="J7:J9"/>
    <mergeCell ref="K7:K9"/>
    <mergeCell ref="B10:K10"/>
    <mergeCell ref="H11:I11"/>
    <mergeCell ref="J11:K11"/>
    <mergeCell ref="B13:K13"/>
    <mergeCell ref="H14:I14"/>
    <mergeCell ref="A1:K1"/>
    <mergeCell ref="B2:K2"/>
    <mergeCell ref="H3:I3"/>
    <mergeCell ref="J3:K3"/>
    <mergeCell ref="B5:K5"/>
  </mergeCells>
  <dataValidations count="1">
    <dataValidation type="decimal" allowBlank="1" showErrorMessage="1" sqref="G4 G7:G9 G12 G15:G16" xr:uid="{00000000-0002-0000-0500-000000000000}">
      <formula1>0</formula1>
      <formula2>100</formula2>
    </dataValidation>
  </dataValidation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topLeftCell="F4" workbookViewId="0">
      <selection activeCell="K7" sqref="K7:K8"/>
    </sheetView>
  </sheetViews>
  <sheetFormatPr baseColWidth="10" defaultColWidth="14.44140625" defaultRowHeight="15" customHeight="1" x14ac:dyDescent="0.3"/>
  <cols>
    <col min="1" max="1" width="18.6640625" customWidth="1"/>
    <col min="2" max="2" width="106.6640625" customWidth="1"/>
    <col min="3" max="4" width="28.44140625" customWidth="1"/>
    <col min="5" max="5" width="27.6640625" customWidth="1"/>
    <col min="6" max="6" width="51" customWidth="1"/>
    <col min="7" max="8" width="37.109375" customWidth="1"/>
    <col min="9" max="10" width="34.44140625" customWidth="1"/>
    <col min="11" max="11" width="35.6640625" customWidth="1"/>
    <col min="12" max="26" width="11.44140625" customWidth="1"/>
  </cols>
  <sheetData>
    <row r="1" spans="1:26" ht="13.5" customHeight="1" x14ac:dyDescent="0.3">
      <c r="A1" s="172" t="s">
        <v>344</v>
      </c>
      <c r="B1" s="152"/>
      <c r="C1" s="152"/>
      <c r="D1" s="152"/>
      <c r="E1" s="152"/>
      <c r="F1" s="152"/>
      <c r="G1" s="152"/>
      <c r="H1" s="152"/>
      <c r="I1" s="152"/>
      <c r="J1" s="152"/>
      <c r="K1" s="153"/>
      <c r="L1" s="1"/>
      <c r="M1" s="1"/>
      <c r="N1" s="1"/>
      <c r="O1" s="1"/>
      <c r="P1" s="1"/>
      <c r="Q1" s="1"/>
      <c r="R1" s="1"/>
      <c r="S1" s="1"/>
      <c r="T1" s="1"/>
      <c r="U1" s="1"/>
      <c r="V1" s="1"/>
      <c r="W1" s="1"/>
      <c r="X1" s="1"/>
      <c r="Y1" s="1"/>
      <c r="Z1" s="1"/>
    </row>
    <row r="2" spans="1:26" ht="13.5" customHeight="1" x14ac:dyDescent="0.3">
      <c r="A2" s="110" t="s">
        <v>345</v>
      </c>
      <c r="B2" s="173" t="s">
        <v>346</v>
      </c>
      <c r="C2" s="152"/>
      <c r="D2" s="152"/>
      <c r="E2" s="152"/>
      <c r="F2" s="152"/>
      <c r="G2" s="152"/>
      <c r="H2" s="152"/>
      <c r="I2" s="152"/>
      <c r="J2" s="152"/>
      <c r="K2" s="153"/>
      <c r="L2" s="111"/>
      <c r="M2" s="111"/>
      <c r="N2" s="111"/>
      <c r="O2" s="111"/>
      <c r="P2" s="111"/>
      <c r="Q2" s="111"/>
      <c r="R2" s="111"/>
      <c r="S2" s="111"/>
      <c r="T2" s="111"/>
      <c r="U2" s="111"/>
      <c r="V2" s="111"/>
      <c r="W2" s="111"/>
      <c r="X2" s="111"/>
      <c r="Y2" s="111"/>
      <c r="Z2" s="111"/>
    </row>
    <row r="3" spans="1:26" ht="13.5" customHeight="1" x14ac:dyDescent="0.3">
      <c r="A3" s="79" t="s">
        <v>3</v>
      </c>
      <c r="B3" s="80" t="s">
        <v>4</v>
      </c>
      <c r="C3" s="79" t="s">
        <v>5</v>
      </c>
      <c r="D3" s="80" t="s">
        <v>6</v>
      </c>
      <c r="E3" s="80" t="s">
        <v>7</v>
      </c>
      <c r="F3" s="80" t="s">
        <v>8</v>
      </c>
      <c r="G3" s="43" t="s">
        <v>9</v>
      </c>
      <c r="H3" s="177" t="s">
        <v>10</v>
      </c>
      <c r="I3" s="153"/>
      <c r="J3" s="171" t="s">
        <v>11</v>
      </c>
      <c r="K3" s="153"/>
      <c r="L3" s="1"/>
      <c r="M3" s="1"/>
      <c r="N3" s="1"/>
      <c r="O3" s="1"/>
      <c r="P3" s="1"/>
      <c r="Q3" s="1"/>
      <c r="R3" s="1"/>
      <c r="S3" s="1"/>
      <c r="T3" s="1"/>
      <c r="U3" s="1"/>
      <c r="V3" s="1"/>
      <c r="W3" s="1"/>
      <c r="X3" s="1"/>
      <c r="Y3" s="1"/>
      <c r="Z3" s="1"/>
    </row>
    <row r="4" spans="1:26" ht="128.25" customHeight="1" x14ac:dyDescent="0.3">
      <c r="A4" s="7" t="s">
        <v>347</v>
      </c>
      <c r="B4" s="16" t="s">
        <v>348</v>
      </c>
      <c r="C4" s="9" t="s">
        <v>87</v>
      </c>
      <c r="D4" s="17" t="s">
        <v>349</v>
      </c>
      <c r="E4" s="11" t="s">
        <v>350</v>
      </c>
      <c r="F4" s="11" t="s">
        <v>351</v>
      </c>
      <c r="G4" s="12">
        <v>96</v>
      </c>
      <c r="H4" s="12" t="str">
        <f>IF(G4&lt;=30,"No se cumple",IF(G4&lt;=59,"Se cumple insatisfactoriamente",IF(G4&lt;=79,"Se cumple aceptablemente",IF(G4&lt;=89,"Se cumple en alto grado",IF(G4&gt;=90,"Se cumple plenamente","EROR")))))</f>
        <v>Se cumple plenamente</v>
      </c>
      <c r="I4" s="12" t="str">
        <f>IF(G4&lt;=59,"Debilidad",IF(G4&lt;=79,"Oportunidad",IF(G4&gt;=80,"Fortaleza","EROR")))</f>
        <v>Fortaleza</v>
      </c>
      <c r="J4" s="13">
        <f>(G4)/1</f>
        <v>96</v>
      </c>
      <c r="K4" s="12" t="str">
        <f>IF(J4&lt;=30,"No se cumple",IF(J4&lt;=59,"Se cumple insatisfactoriamente",IF(J4&lt;=79,"Se cumple aceptablemente",IF(J4&lt;=89,"Se cumple en alto grado",IF(J4&gt;=90,"Se cumple plenamente","EROR")))))</f>
        <v>Se cumple plenamente</v>
      </c>
      <c r="L4" s="1"/>
      <c r="M4" s="1"/>
      <c r="N4" s="1"/>
      <c r="O4" s="1"/>
      <c r="P4" s="1"/>
      <c r="Q4" s="1"/>
      <c r="R4" s="1"/>
      <c r="S4" s="1"/>
      <c r="T4" s="1"/>
      <c r="U4" s="1"/>
      <c r="V4" s="1"/>
      <c r="W4" s="1"/>
      <c r="X4" s="1"/>
      <c r="Y4" s="1"/>
      <c r="Z4" s="1"/>
    </row>
    <row r="5" spans="1:26" ht="15" customHeight="1" x14ac:dyDescent="0.3">
      <c r="A5" s="26" t="s">
        <v>352</v>
      </c>
      <c r="B5" s="173" t="s">
        <v>353</v>
      </c>
      <c r="C5" s="152"/>
      <c r="D5" s="152"/>
      <c r="E5" s="152"/>
      <c r="F5" s="152"/>
      <c r="G5" s="152"/>
      <c r="H5" s="152"/>
      <c r="I5" s="152"/>
      <c r="J5" s="152"/>
      <c r="K5" s="153"/>
      <c r="L5" s="111"/>
      <c r="M5" s="111"/>
      <c r="N5" s="111"/>
      <c r="O5" s="111"/>
      <c r="P5" s="111"/>
      <c r="Q5" s="111"/>
      <c r="R5" s="111"/>
      <c r="S5" s="111"/>
      <c r="T5" s="111"/>
      <c r="U5" s="111"/>
      <c r="V5" s="111"/>
      <c r="W5" s="111"/>
      <c r="X5" s="111"/>
      <c r="Y5" s="111"/>
      <c r="Z5" s="111"/>
    </row>
    <row r="6" spans="1:26" ht="13.5" customHeight="1" x14ac:dyDescent="0.3">
      <c r="A6" s="79" t="s">
        <v>3</v>
      </c>
      <c r="B6" s="80" t="s">
        <v>4</v>
      </c>
      <c r="C6" s="79" t="s">
        <v>5</v>
      </c>
      <c r="D6" s="80" t="s">
        <v>6</v>
      </c>
      <c r="E6" s="80" t="s">
        <v>7</v>
      </c>
      <c r="F6" s="80" t="s">
        <v>8</v>
      </c>
      <c r="G6" s="43" t="s">
        <v>9</v>
      </c>
      <c r="H6" s="177" t="s">
        <v>10</v>
      </c>
      <c r="I6" s="153"/>
      <c r="J6" s="171" t="s">
        <v>11</v>
      </c>
      <c r="K6" s="153"/>
      <c r="L6" s="1"/>
      <c r="M6" s="1"/>
      <c r="N6" s="1"/>
      <c r="O6" s="1"/>
      <c r="P6" s="1"/>
      <c r="Q6" s="1"/>
      <c r="R6" s="1"/>
      <c r="S6" s="1"/>
      <c r="T6" s="1"/>
      <c r="U6" s="1"/>
      <c r="V6" s="1"/>
      <c r="W6" s="1"/>
      <c r="X6" s="1"/>
      <c r="Y6" s="1"/>
      <c r="Z6" s="1"/>
    </row>
    <row r="7" spans="1:26" ht="61.5" customHeight="1" x14ac:dyDescent="0.3">
      <c r="A7" s="7" t="s">
        <v>354</v>
      </c>
      <c r="B7" s="81" t="s">
        <v>355</v>
      </c>
      <c r="C7" s="17" t="s">
        <v>341</v>
      </c>
      <c r="D7" s="17" t="s">
        <v>356</v>
      </c>
      <c r="E7" s="10" t="s">
        <v>357</v>
      </c>
      <c r="F7" s="11" t="s">
        <v>358</v>
      </c>
      <c r="G7" s="12">
        <v>84</v>
      </c>
      <c r="H7" s="12" t="str">
        <f t="shared" ref="H7:H8" si="0">IF(G7&lt;=30,"No se cumple",IF(G7&lt;=59,"Se cumple insatisfactoriamente",IF(G7&lt;=79,"Se cumple aceptablemente",IF(G7&lt;=89,"Se cumple en alto grado",IF(G7&gt;=90,"Se cumple plenamente","EROR")))))</f>
        <v>Se cumple en alto grado</v>
      </c>
      <c r="I7" s="12" t="str">
        <f t="shared" ref="I7:I8" si="1">IF(G7&lt;=59,"Debilidad",IF(G7&lt;=79,"Oportunidad",IF(G7&gt;=80,"Fortaleza","EROR")))</f>
        <v>Fortaleza</v>
      </c>
      <c r="J7" s="146">
        <f>(G7+G8)/2</f>
        <v>89</v>
      </c>
      <c r="K7" s="146" t="str">
        <f>IF(J7&lt;=30,"No se cumple",IF(J7&lt;=59,"Se cumple insatisfactoriamente",IF(J7&lt;=79,"Se cumple aceptablemente",IF(J7&lt;=89,"Se cumple en alto grado",IF(J7&gt;=90,"Se cumple plenamente","EROR")))))</f>
        <v>Se cumple en alto grado</v>
      </c>
      <c r="L7" s="1"/>
      <c r="M7" s="1"/>
      <c r="N7" s="1"/>
      <c r="O7" s="1"/>
      <c r="P7" s="1"/>
      <c r="Q7" s="1"/>
      <c r="R7" s="1"/>
      <c r="S7" s="1"/>
      <c r="T7" s="1"/>
      <c r="U7" s="1"/>
      <c r="V7" s="1"/>
      <c r="W7" s="1"/>
      <c r="X7" s="1"/>
      <c r="Y7" s="1"/>
      <c r="Z7" s="1"/>
    </row>
    <row r="8" spans="1:26" ht="68.25" customHeight="1" x14ac:dyDescent="0.3">
      <c r="A8" s="29" t="s">
        <v>359</v>
      </c>
      <c r="B8" s="91" t="s">
        <v>360</v>
      </c>
      <c r="C8" s="31" t="s">
        <v>120</v>
      </c>
      <c r="D8" s="31" t="s">
        <v>361</v>
      </c>
      <c r="E8" s="32" t="s">
        <v>42</v>
      </c>
      <c r="F8" s="39" t="s">
        <v>518</v>
      </c>
      <c r="G8" s="38">
        <v>94</v>
      </c>
      <c r="H8" s="38" t="str">
        <f t="shared" si="0"/>
        <v>Se cumple plenamente</v>
      </c>
      <c r="I8" s="38" t="str">
        <f t="shared" si="1"/>
        <v>Fortaleza</v>
      </c>
      <c r="J8" s="147"/>
      <c r="K8" s="147"/>
      <c r="L8" s="87"/>
      <c r="M8" s="87"/>
      <c r="N8" s="87"/>
      <c r="O8" s="87"/>
      <c r="P8" s="87"/>
      <c r="Q8" s="87"/>
      <c r="R8" s="87"/>
      <c r="S8" s="87"/>
      <c r="T8" s="87"/>
      <c r="U8" s="87"/>
      <c r="V8" s="87"/>
      <c r="W8" s="87"/>
      <c r="X8" s="87"/>
      <c r="Y8" s="87"/>
      <c r="Z8" s="87"/>
    </row>
    <row r="9" spans="1:26" ht="13.5" customHeight="1" x14ac:dyDescent="0.3">
      <c r="A9" s="26" t="s">
        <v>362</v>
      </c>
      <c r="B9" s="173" t="s">
        <v>363</v>
      </c>
      <c r="C9" s="152"/>
      <c r="D9" s="152"/>
      <c r="E9" s="152"/>
      <c r="F9" s="152"/>
      <c r="G9" s="152"/>
      <c r="H9" s="152"/>
      <c r="I9" s="152"/>
      <c r="J9" s="152"/>
      <c r="K9" s="153"/>
      <c r="L9" s="111"/>
      <c r="M9" s="111"/>
      <c r="N9" s="111"/>
      <c r="O9" s="111"/>
      <c r="P9" s="111"/>
      <c r="Q9" s="111"/>
      <c r="R9" s="111"/>
      <c r="S9" s="111"/>
      <c r="T9" s="111"/>
      <c r="U9" s="111"/>
      <c r="V9" s="111"/>
      <c r="W9" s="111"/>
      <c r="X9" s="111"/>
      <c r="Y9" s="111"/>
      <c r="Z9" s="111"/>
    </row>
    <row r="10" spans="1:26" ht="13.5" customHeight="1" x14ac:dyDescent="0.3">
      <c r="A10" s="79" t="s">
        <v>3</v>
      </c>
      <c r="B10" s="80" t="s">
        <v>4</v>
      </c>
      <c r="C10" s="79" t="s">
        <v>5</v>
      </c>
      <c r="D10" s="80" t="s">
        <v>6</v>
      </c>
      <c r="E10" s="80" t="s">
        <v>7</v>
      </c>
      <c r="F10" s="80" t="s">
        <v>8</v>
      </c>
      <c r="G10" s="43" t="s">
        <v>9</v>
      </c>
      <c r="H10" s="177" t="s">
        <v>10</v>
      </c>
      <c r="I10" s="153"/>
      <c r="J10" s="171" t="s">
        <v>11</v>
      </c>
      <c r="K10" s="153"/>
      <c r="L10" s="1"/>
      <c r="M10" s="1"/>
      <c r="N10" s="1"/>
      <c r="O10" s="1"/>
      <c r="P10" s="1"/>
      <c r="Q10" s="1"/>
      <c r="R10" s="1"/>
      <c r="S10" s="1"/>
      <c r="T10" s="1"/>
      <c r="U10" s="1"/>
      <c r="V10" s="1"/>
      <c r="W10" s="1"/>
      <c r="X10" s="1"/>
      <c r="Y10" s="1"/>
      <c r="Z10" s="1"/>
    </row>
    <row r="11" spans="1:26" ht="60" customHeight="1" x14ac:dyDescent="0.3">
      <c r="A11" s="7" t="s">
        <v>364</v>
      </c>
      <c r="B11" s="16" t="s">
        <v>517</v>
      </c>
      <c r="C11" s="17" t="s">
        <v>32</v>
      </c>
      <c r="D11" s="17" t="s">
        <v>365</v>
      </c>
      <c r="E11" s="10" t="s">
        <v>519</v>
      </c>
      <c r="F11" s="10" t="s">
        <v>520</v>
      </c>
      <c r="G11" s="12">
        <v>94</v>
      </c>
      <c r="H11" s="12" t="str">
        <f>IF(G11&lt;=30,"No se cumple",IF(G11&lt;=59,"Se cumple insatisfactoriamente",IF(G11&lt;=79,"Se cumple aceptablemente",IF(G11&lt;=89,"Se cumple en alto grado",IF(G11&gt;=90,"Se cumple plenamente","EROR")))))</f>
        <v>Se cumple plenamente</v>
      </c>
      <c r="I11" s="12" t="str">
        <f>IF(G11&lt;=59,"Debilidad",IF(G11&lt;=79,"Oportunidad",IF(G11&gt;=80,"Fortaleza","EROR")))</f>
        <v>Fortaleza</v>
      </c>
      <c r="J11" s="13">
        <f>(G11)/1</f>
        <v>94</v>
      </c>
      <c r="K11" s="12" t="str">
        <f>IF(J11&lt;=30,"No se cumple",IF(J11&lt;=59,"Se cumple insatisfactoriamente",IF(J11&lt;=79,"Se cumple aceptablemente",IF(J11&lt;=89,"Se cumple en alto grado",IF(J11&gt;=90,"Se cumple plenamente","EROR")))))</f>
        <v>Se cumple plenamente</v>
      </c>
      <c r="L11" s="1"/>
      <c r="M11" s="1"/>
      <c r="N11" s="1"/>
      <c r="O11" s="1"/>
      <c r="P11" s="1"/>
      <c r="Q11" s="1"/>
      <c r="R11" s="1"/>
      <c r="S11" s="1"/>
      <c r="T11" s="1"/>
      <c r="U11" s="1"/>
      <c r="V11" s="1"/>
      <c r="W11" s="1"/>
      <c r="X11" s="1"/>
      <c r="Y11" s="1"/>
      <c r="Z11" s="1"/>
    </row>
    <row r="12" spans="1:26" ht="13.5" customHeight="1" x14ac:dyDescent="0.3">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3.5" customHeight="1"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3.5" customHeight="1"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3.5" customHeight="1"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3.5" customHeight="1"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3.5" customHeight="1"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3.5" customHeight="1"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3.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3.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3.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3.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3.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2">
    <mergeCell ref="H6:I6"/>
    <mergeCell ref="J6:K6"/>
    <mergeCell ref="A1:K1"/>
    <mergeCell ref="B2:K2"/>
    <mergeCell ref="H3:I3"/>
    <mergeCell ref="J3:K3"/>
    <mergeCell ref="B5:K5"/>
    <mergeCell ref="J7:J8"/>
    <mergeCell ref="K7:K8"/>
    <mergeCell ref="B9:K9"/>
    <mergeCell ref="H10:I10"/>
    <mergeCell ref="J10:K10"/>
  </mergeCells>
  <dataValidations count="1">
    <dataValidation type="decimal" allowBlank="1" showErrorMessage="1" sqref="G4 G7:G8 G11" xr:uid="{00000000-0002-0000-0600-000000000000}">
      <formula1>0</formula1>
      <formula2>100</formula2>
    </dataValidation>
  </dataValidation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zoomScale="55" zoomScaleNormal="55" workbookViewId="0">
      <selection sqref="A1:K1"/>
    </sheetView>
  </sheetViews>
  <sheetFormatPr baseColWidth="10" defaultColWidth="14.44140625" defaultRowHeight="15" customHeight="1" x14ac:dyDescent="0.3"/>
  <cols>
    <col min="1" max="1" width="18.6640625" customWidth="1"/>
    <col min="2" max="2" width="106.6640625" customWidth="1"/>
    <col min="3" max="4" width="28.44140625" customWidth="1"/>
    <col min="5" max="5" width="47.88671875" customWidth="1"/>
    <col min="6" max="6" width="50.44140625" customWidth="1"/>
    <col min="7" max="7" width="39.109375" customWidth="1"/>
    <col min="8" max="8" width="37.6640625" customWidth="1"/>
    <col min="9" max="10" width="36.109375" customWidth="1"/>
    <col min="11" max="11" width="34.109375" customWidth="1"/>
    <col min="12" max="26" width="11.44140625" customWidth="1"/>
  </cols>
  <sheetData>
    <row r="1" spans="1:26" ht="13.5" customHeight="1" x14ac:dyDescent="0.3">
      <c r="A1" s="178" t="s">
        <v>366</v>
      </c>
      <c r="B1" s="152"/>
      <c r="C1" s="152"/>
      <c r="D1" s="152"/>
      <c r="E1" s="152"/>
      <c r="F1" s="152"/>
      <c r="G1" s="152"/>
      <c r="H1" s="152"/>
      <c r="I1" s="152"/>
      <c r="J1" s="152"/>
      <c r="K1" s="153"/>
      <c r="L1" s="1"/>
      <c r="M1" s="1"/>
      <c r="N1" s="1"/>
      <c r="O1" s="1"/>
      <c r="P1" s="1"/>
      <c r="Q1" s="1"/>
      <c r="R1" s="1"/>
      <c r="S1" s="1"/>
      <c r="T1" s="1"/>
      <c r="U1" s="1"/>
      <c r="V1" s="1"/>
      <c r="W1" s="1"/>
      <c r="X1" s="1"/>
      <c r="Y1" s="1"/>
      <c r="Z1" s="1"/>
    </row>
    <row r="2" spans="1:26" ht="13.5" customHeight="1" x14ac:dyDescent="0.3">
      <c r="A2" s="78" t="s">
        <v>367</v>
      </c>
      <c r="B2" s="173" t="s">
        <v>368</v>
      </c>
      <c r="C2" s="152"/>
      <c r="D2" s="152"/>
      <c r="E2" s="152"/>
      <c r="F2" s="152"/>
      <c r="G2" s="152"/>
      <c r="H2" s="152"/>
      <c r="I2" s="152"/>
      <c r="J2" s="152"/>
      <c r="K2" s="153"/>
      <c r="L2" s="1"/>
      <c r="M2" s="1"/>
      <c r="N2" s="1"/>
      <c r="O2" s="1"/>
      <c r="P2" s="1"/>
      <c r="Q2" s="1"/>
      <c r="R2" s="1"/>
      <c r="S2" s="1"/>
      <c r="T2" s="1"/>
      <c r="U2" s="1"/>
      <c r="V2" s="1"/>
      <c r="W2" s="1"/>
      <c r="X2" s="1"/>
      <c r="Y2" s="1"/>
      <c r="Z2" s="1"/>
    </row>
    <row r="3" spans="1:26" ht="13.5" customHeight="1" x14ac:dyDescent="0.3">
      <c r="A3" s="79" t="s">
        <v>3</v>
      </c>
      <c r="B3" s="80" t="s">
        <v>4</v>
      </c>
      <c r="C3" s="79" t="s">
        <v>5</v>
      </c>
      <c r="D3" s="80" t="s">
        <v>6</v>
      </c>
      <c r="E3" s="80" t="s">
        <v>7</v>
      </c>
      <c r="F3" s="80" t="s">
        <v>8</v>
      </c>
      <c r="G3" s="43" t="s">
        <v>9</v>
      </c>
      <c r="H3" s="171" t="s">
        <v>10</v>
      </c>
      <c r="I3" s="153"/>
      <c r="J3" s="171" t="s">
        <v>11</v>
      </c>
      <c r="K3" s="153"/>
      <c r="L3" s="1"/>
      <c r="M3" s="1"/>
      <c r="N3" s="1"/>
      <c r="O3" s="1"/>
      <c r="P3" s="1"/>
      <c r="Q3" s="1"/>
      <c r="R3" s="1"/>
      <c r="S3" s="1"/>
      <c r="T3" s="1"/>
      <c r="U3" s="1"/>
      <c r="V3" s="1"/>
      <c r="W3" s="1"/>
      <c r="X3" s="1"/>
      <c r="Y3" s="1"/>
      <c r="Z3" s="1"/>
    </row>
    <row r="4" spans="1:26" ht="215.25" customHeight="1" x14ac:dyDescent="0.3">
      <c r="A4" s="7" t="s">
        <v>369</v>
      </c>
      <c r="B4" s="81" t="s">
        <v>370</v>
      </c>
      <c r="C4" s="9" t="s">
        <v>371</v>
      </c>
      <c r="D4" s="17" t="s">
        <v>372</v>
      </c>
      <c r="E4" s="10" t="s">
        <v>373</v>
      </c>
      <c r="F4" s="11" t="s">
        <v>374</v>
      </c>
      <c r="G4" s="12">
        <v>85</v>
      </c>
      <c r="H4" s="12" t="str">
        <f t="shared" ref="H4:H5" si="0">IF(G4&lt;=30,"No se cumple",IF(G4&lt;=59,"Se cumple insatisfactoriamente",IF(G4&lt;=79,"Se cumple aceptablemente",IF(G4&lt;=89,"Se cumple en alto grado",IF(G4&gt;=90,"Se cumple plenamente","EROR")))))</f>
        <v>Se cumple en alto grado</v>
      </c>
      <c r="I4" s="12" t="str">
        <f t="shared" ref="I4:I5" si="1">IF(G4&lt;=59,"Debilidad",IF(G4&lt;=79,"Oportunidad",IF(G4&gt;=80,"Fortaleza","EROR")))</f>
        <v>Fortaleza</v>
      </c>
      <c r="J4" s="146">
        <f>(G4+G5)/2</f>
        <v>87.5</v>
      </c>
      <c r="K4" s="146" t="str">
        <f>IF(J4&lt;=30,"No se cumple",IF(J4&lt;=59,"Se cumple insatisfactoriamente",IF(J4&lt;=79,"Se cumple aceptablemente",IF(J4&lt;=89,"Se cumple en alto grado",IF(J4&gt;=90,"Se cumple plenamente","EROR")))))</f>
        <v>Se cumple en alto grado</v>
      </c>
      <c r="L4" s="1"/>
      <c r="M4" s="1"/>
      <c r="N4" s="1"/>
      <c r="O4" s="1"/>
      <c r="P4" s="1"/>
      <c r="Q4" s="1"/>
      <c r="R4" s="1"/>
      <c r="S4" s="1"/>
      <c r="T4" s="1"/>
      <c r="U4" s="1"/>
      <c r="V4" s="1"/>
      <c r="W4" s="1"/>
      <c r="X4" s="1"/>
      <c r="Y4" s="1"/>
      <c r="Z4" s="1"/>
    </row>
    <row r="5" spans="1:26" ht="262.2" x14ac:dyDescent="0.3">
      <c r="A5" s="112" t="s">
        <v>375</v>
      </c>
      <c r="B5" s="113" t="s">
        <v>376</v>
      </c>
      <c r="C5" s="31" t="s">
        <v>120</v>
      </c>
      <c r="D5" s="31" t="s">
        <v>361</v>
      </c>
      <c r="E5" s="32" t="s">
        <v>42</v>
      </c>
      <c r="F5" s="37" t="s">
        <v>377</v>
      </c>
      <c r="G5" s="38">
        <v>90</v>
      </c>
      <c r="H5" s="38" t="str">
        <f t="shared" si="0"/>
        <v>Se cumple plenamente</v>
      </c>
      <c r="I5" s="38" t="str">
        <f t="shared" si="1"/>
        <v>Fortaleza</v>
      </c>
      <c r="J5" s="148"/>
      <c r="K5" s="148"/>
      <c r="L5" s="87"/>
      <c r="M5" s="87"/>
      <c r="N5" s="87"/>
      <c r="O5" s="87"/>
      <c r="P5" s="87"/>
      <c r="Q5" s="87"/>
      <c r="R5" s="87"/>
      <c r="S5" s="87"/>
      <c r="T5" s="87"/>
      <c r="U5" s="87"/>
      <c r="V5" s="87"/>
      <c r="W5" s="87"/>
      <c r="X5" s="87"/>
      <c r="Y5" s="87"/>
      <c r="Z5" s="87"/>
    </row>
    <row r="6" spans="1:26" ht="20.25" customHeight="1" x14ac:dyDescent="0.3">
      <c r="A6" s="114" t="s">
        <v>378</v>
      </c>
      <c r="B6" s="175" t="s">
        <v>379</v>
      </c>
      <c r="C6" s="152"/>
      <c r="D6" s="152"/>
      <c r="E6" s="152"/>
      <c r="F6" s="152"/>
      <c r="G6" s="152"/>
      <c r="H6" s="152"/>
      <c r="I6" s="152"/>
      <c r="J6" s="152"/>
      <c r="K6" s="153"/>
      <c r="L6" s="6"/>
      <c r="M6" s="6"/>
      <c r="N6" s="6"/>
      <c r="O6" s="6"/>
      <c r="P6" s="6"/>
      <c r="Q6" s="6"/>
      <c r="R6" s="6"/>
      <c r="S6" s="6"/>
      <c r="T6" s="6"/>
      <c r="U6" s="6"/>
      <c r="V6" s="6"/>
      <c r="W6" s="6"/>
      <c r="X6" s="6"/>
      <c r="Y6" s="6"/>
      <c r="Z6" s="6"/>
    </row>
    <row r="7" spans="1:26" ht="13.5" customHeight="1" x14ac:dyDescent="0.3">
      <c r="A7" s="79" t="s">
        <v>3</v>
      </c>
      <c r="B7" s="80" t="s">
        <v>4</v>
      </c>
      <c r="C7" s="79" t="s">
        <v>5</v>
      </c>
      <c r="D7" s="80" t="s">
        <v>6</v>
      </c>
      <c r="E7" s="80" t="s">
        <v>7</v>
      </c>
      <c r="F7" s="80" t="s">
        <v>8</v>
      </c>
      <c r="G7" s="43" t="s">
        <v>9</v>
      </c>
      <c r="H7" s="171" t="s">
        <v>10</v>
      </c>
      <c r="I7" s="153"/>
      <c r="J7" s="171" t="s">
        <v>11</v>
      </c>
      <c r="K7" s="153"/>
      <c r="L7" s="1"/>
      <c r="M7" s="1"/>
      <c r="N7" s="1"/>
      <c r="O7" s="1"/>
      <c r="P7" s="1"/>
      <c r="Q7" s="1"/>
      <c r="R7" s="1"/>
      <c r="S7" s="1"/>
      <c r="T7" s="1"/>
      <c r="U7" s="1"/>
      <c r="V7" s="1"/>
      <c r="W7" s="1"/>
      <c r="X7" s="1"/>
      <c r="Y7" s="1"/>
      <c r="Z7" s="1"/>
    </row>
    <row r="8" spans="1:26" ht="409.6" x14ac:dyDescent="0.3">
      <c r="A8" s="115" t="s">
        <v>380</v>
      </c>
      <c r="B8" s="116" t="s">
        <v>381</v>
      </c>
      <c r="C8" s="117" t="s">
        <v>228</v>
      </c>
      <c r="D8" s="17" t="s">
        <v>372</v>
      </c>
      <c r="E8" s="18" t="s">
        <v>382</v>
      </c>
      <c r="F8" s="11" t="s">
        <v>383</v>
      </c>
      <c r="G8" s="12">
        <v>95</v>
      </c>
      <c r="H8" s="12" t="str">
        <f t="shared" ref="H8:H9" si="2">IF(G8&lt;=30,"No se cumple",IF(G8&lt;=59,"Se cumple insatisfactoriamente",IF(G8&lt;=79,"Se cumple aceptablemente",IF(G8&lt;=89,"Se cumple en alto grado",IF(G8&gt;=90,"Se cumple plenamente","EROR")))))</f>
        <v>Se cumple plenamente</v>
      </c>
      <c r="I8" s="118" t="str">
        <f t="shared" ref="I8:I9" si="3">IF(G8&lt;=59,"Debilidad",IF(G8&lt;=79,"Oportunidad",IF(G8&gt;=80,"Fortaleza","EROR")))</f>
        <v>Fortaleza</v>
      </c>
      <c r="J8" s="146">
        <f>(G8+G9)/2</f>
        <v>90</v>
      </c>
      <c r="K8" s="180" t="str">
        <f>IF(J8&lt;=30,"No se cumple",IF(J8&lt;=59,"Se cumple insatisfactoriamente",IF(J8&lt;=79,"Se cumple aceptablemente",IF(J8&lt;=89,"Se cumple en alto grado",IF(J8&gt;=90,"Se cumple plenamente","EROR")))))</f>
        <v>Se cumple plenamente</v>
      </c>
      <c r="L8" s="1"/>
      <c r="M8" s="1"/>
      <c r="N8" s="1"/>
      <c r="O8" s="1"/>
      <c r="P8" s="1"/>
      <c r="Q8" s="1"/>
      <c r="R8" s="1"/>
      <c r="S8" s="1"/>
      <c r="T8" s="1"/>
      <c r="U8" s="1"/>
      <c r="V8" s="1"/>
      <c r="W8" s="1"/>
      <c r="X8" s="1"/>
      <c r="Y8" s="1"/>
      <c r="Z8" s="1"/>
    </row>
    <row r="9" spans="1:26" ht="105" customHeight="1" x14ac:dyDescent="0.3">
      <c r="A9" s="7" t="s">
        <v>384</v>
      </c>
      <c r="B9" s="81" t="s">
        <v>385</v>
      </c>
      <c r="C9" s="17" t="s">
        <v>371</v>
      </c>
      <c r="D9" s="17" t="s">
        <v>372</v>
      </c>
      <c r="E9" s="12" t="s">
        <v>373</v>
      </c>
      <c r="F9" s="11" t="s">
        <v>386</v>
      </c>
      <c r="G9" s="12">
        <v>85</v>
      </c>
      <c r="H9" s="12" t="str">
        <f t="shared" si="2"/>
        <v>Se cumple en alto grado</v>
      </c>
      <c r="I9" s="118" t="str">
        <f t="shared" si="3"/>
        <v>Fortaleza</v>
      </c>
      <c r="J9" s="148"/>
      <c r="K9" s="155"/>
      <c r="L9" s="1"/>
      <c r="M9" s="1"/>
      <c r="N9" s="1"/>
      <c r="O9" s="1"/>
      <c r="P9" s="1"/>
      <c r="Q9" s="1"/>
      <c r="R9" s="1"/>
      <c r="S9" s="1"/>
      <c r="T9" s="1"/>
      <c r="U9" s="1"/>
      <c r="V9" s="1"/>
      <c r="W9" s="1"/>
      <c r="X9" s="1"/>
      <c r="Y9" s="1"/>
      <c r="Z9" s="1"/>
    </row>
    <row r="10" spans="1:26" ht="13.5" customHeight="1" x14ac:dyDescent="0.3">
      <c r="A10" s="107"/>
      <c r="B10" s="119"/>
      <c r="C10" s="106"/>
      <c r="D10" s="106"/>
      <c r="E10" s="1"/>
      <c r="F10" s="1"/>
      <c r="G10" s="1"/>
      <c r="H10" s="1"/>
      <c r="I10" s="1"/>
      <c r="J10" s="1"/>
      <c r="K10" s="1"/>
      <c r="L10" s="1"/>
      <c r="M10" s="1"/>
      <c r="N10" s="1"/>
      <c r="O10" s="1"/>
      <c r="P10" s="1"/>
      <c r="Q10" s="1"/>
      <c r="R10" s="1"/>
      <c r="S10" s="1"/>
      <c r="T10" s="1"/>
      <c r="U10" s="1"/>
      <c r="V10" s="1"/>
      <c r="W10" s="1"/>
      <c r="X10" s="1"/>
      <c r="Y10" s="1"/>
      <c r="Z10" s="1"/>
    </row>
    <row r="11" spans="1:26" ht="13.5" customHeight="1" x14ac:dyDescent="0.3">
      <c r="A11" s="120"/>
      <c r="B11" s="179"/>
      <c r="C11" s="150"/>
      <c r="D11" s="121"/>
      <c r="E11" s="1"/>
      <c r="F11" s="1"/>
      <c r="G11" s="1"/>
      <c r="H11" s="1"/>
      <c r="I11" s="1"/>
      <c r="J11" s="1"/>
      <c r="K11" s="1"/>
      <c r="L11" s="1"/>
      <c r="M11" s="1"/>
      <c r="N11" s="1"/>
      <c r="O11" s="1"/>
      <c r="P11" s="1"/>
      <c r="Q11" s="1"/>
      <c r="R11" s="1"/>
      <c r="S11" s="1"/>
      <c r="T11" s="1"/>
      <c r="U11" s="1"/>
      <c r="V11" s="1"/>
      <c r="W11" s="1"/>
      <c r="X11" s="1"/>
      <c r="Y11" s="1"/>
      <c r="Z11" s="1"/>
    </row>
    <row r="12" spans="1:26" ht="13.5" customHeight="1" x14ac:dyDescent="0.3">
      <c r="A12" s="122"/>
      <c r="B12" s="123"/>
      <c r="C12" s="122"/>
      <c r="D12" s="122"/>
      <c r="E12" s="1"/>
      <c r="F12" s="1"/>
      <c r="G12" s="1"/>
      <c r="H12" s="1"/>
      <c r="I12" s="1"/>
      <c r="J12" s="1"/>
      <c r="K12" s="1"/>
      <c r="L12" s="1"/>
      <c r="M12" s="1"/>
      <c r="N12" s="1"/>
      <c r="O12" s="1"/>
      <c r="P12" s="1"/>
      <c r="Q12" s="1"/>
      <c r="R12" s="1"/>
      <c r="S12" s="1"/>
      <c r="T12" s="1"/>
      <c r="U12" s="1"/>
      <c r="V12" s="1"/>
      <c r="W12" s="1"/>
      <c r="X12" s="1"/>
      <c r="Y12" s="1"/>
      <c r="Z12" s="1"/>
    </row>
    <row r="13" spans="1:26" ht="13.5" customHeight="1" x14ac:dyDescent="0.3">
      <c r="A13" s="107"/>
      <c r="B13" s="119"/>
      <c r="C13" s="109"/>
      <c r="D13" s="109"/>
      <c r="E13" s="1"/>
      <c r="F13" s="1"/>
      <c r="G13" s="1"/>
      <c r="H13" s="1"/>
      <c r="I13" s="1"/>
      <c r="J13" s="1"/>
      <c r="K13" s="1"/>
      <c r="L13" s="1"/>
      <c r="M13" s="1"/>
      <c r="N13" s="1"/>
      <c r="O13" s="1"/>
      <c r="P13" s="1"/>
      <c r="Q13" s="1"/>
      <c r="R13" s="1"/>
      <c r="S13" s="1"/>
      <c r="T13" s="1"/>
      <c r="U13" s="1"/>
      <c r="V13" s="1"/>
      <c r="W13" s="1"/>
      <c r="X13" s="1"/>
      <c r="Y13" s="1"/>
      <c r="Z13" s="1"/>
    </row>
    <row r="14" spans="1:26" ht="13.5" customHeight="1" x14ac:dyDescent="0.3">
      <c r="A14" s="107"/>
      <c r="B14" s="124"/>
      <c r="C14" s="125"/>
      <c r="D14" s="125"/>
      <c r="E14" s="1"/>
      <c r="F14" s="1"/>
      <c r="G14" s="1"/>
      <c r="H14" s="1"/>
      <c r="I14" s="1"/>
      <c r="J14" s="1"/>
      <c r="K14" s="1"/>
      <c r="L14" s="1"/>
      <c r="M14" s="1"/>
      <c r="N14" s="1"/>
      <c r="O14" s="1"/>
      <c r="P14" s="1"/>
      <c r="Q14" s="1"/>
      <c r="R14" s="1"/>
      <c r="S14" s="1"/>
      <c r="T14" s="1"/>
      <c r="U14" s="1"/>
      <c r="V14" s="1"/>
      <c r="W14" s="1"/>
      <c r="X14" s="1"/>
      <c r="Y14" s="1"/>
      <c r="Z14" s="1"/>
    </row>
    <row r="15" spans="1:26" ht="45.75" customHeight="1" x14ac:dyDescent="0.3">
      <c r="A15" s="107"/>
      <c r="B15" s="108"/>
      <c r="C15" s="109"/>
      <c r="D15" s="109"/>
      <c r="E15" s="1"/>
      <c r="F15" s="1"/>
      <c r="G15" s="1"/>
      <c r="H15" s="1"/>
      <c r="I15" s="1"/>
      <c r="J15" s="1"/>
      <c r="K15" s="1"/>
      <c r="L15" s="1"/>
      <c r="M15" s="1"/>
      <c r="N15" s="1"/>
      <c r="O15" s="1"/>
      <c r="P15" s="1"/>
      <c r="Q15" s="1"/>
      <c r="R15" s="1"/>
      <c r="S15" s="1"/>
      <c r="T15" s="1"/>
      <c r="U15" s="1"/>
      <c r="V15" s="1"/>
      <c r="W15" s="1"/>
      <c r="X15" s="1"/>
      <c r="Y15" s="1"/>
      <c r="Z15" s="1"/>
    </row>
    <row r="16" spans="1:26" ht="13.5" customHeight="1" x14ac:dyDescent="0.3">
      <c r="A16" s="120"/>
      <c r="B16" s="179"/>
      <c r="C16" s="150"/>
      <c r="D16" s="121"/>
      <c r="E16" s="1"/>
      <c r="F16" s="1"/>
      <c r="G16" s="1"/>
      <c r="H16" s="1"/>
      <c r="I16" s="1"/>
      <c r="J16" s="1"/>
      <c r="K16" s="1"/>
      <c r="L16" s="1"/>
      <c r="M16" s="1"/>
      <c r="N16" s="1"/>
      <c r="O16" s="1"/>
      <c r="P16" s="1"/>
      <c r="Q16" s="1"/>
      <c r="R16" s="1"/>
      <c r="S16" s="1"/>
      <c r="T16" s="1"/>
      <c r="U16" s="1"/>
      <c r="V16" s="1"/>
      <c r="W16" s="1"/>
      <c r="X16" s="1"/>
      <c r="Y16" s="1"/>
      <c r="Z16" s="1"/>
    </row>
    <row r="17" spans="1:26" ht="31.5" customHeight="1" x14ac:dyDescent="0.3">
      <c r="A17" s="122"/>
      <c r="B17" s="123"/>
      <c r="C17" s="122"/>
      <c r="D17" s="122"/>
      <c r="E17" s="1"/>
      <c r="F17" s="1"/>
      <c r="G17" s="1"/>
      <c r="H17" s="1"/>
      <c r="I17" s="1"/>
      <c r="J17" s="1"/>
      <c r="K17" s="1"/>
      <c r="L17" s="1"/>
      <c r="M17" s="1"/>
      <c r="N17" s="1"/>
      <c r="O17" s="1"/>
      <c r="P17" s="1"/>
      <c r="Q17" s="1"/>
      <c r="R17" s="1"/>
      <c r="S17" s="1"/>
      <c r="T17" s="1"/>
      <c r="U17" s="1"/>
      <c r="V17" s="1"/>
      <c r="W17" s="1"/>
      <c r="X17" s="1"/>
      <c r="Y17" s="1"/>
      <c r="Z17" s="1"/>
    </row>
    <row r="18" spans="1:26" ht="13.5" customHeight="1" x14ac:dyDescent="0.3">
      <c r="A18" s="107"/>
      <c r="B18" s="119"/>
      <c r="C18" s="109"/>
      <c r="D18" s="109"/>
      <c r="E18" s="1"/>
      <c r="F18" s="1"/>
      <c r="G18" s="1"/>
      <c r="H18" s="1"/>
      <c r="I18" s="1"/>
      <c r="J18" s="1"/>
      <c r="K18" s="1"/>
      <c r="L18" s="1"/>
      <c r="M18" s="1"/>
      <c r="N18" s="1"/>
      <c r="O18" s="1"/>
      <c r="P18" s="1"/>
      <c r="Q18" s="1"/>
      <c r="R18" s="1"/>
      <c r="S18" s="1"/>
      <c r="T18" s="1"/>
      <c r="U18" s="1"/>
      <c r="V18" s="1"/>
      <c r="W18" s="1"/>
      <c r="X18" s="1"/>
      <c r="Y18" s="1"/>
      <c r="Z18" s="1"/>
    </row>
    <row r="19" spans="1:26" ht="13.5" customHeight="1" x14ac:dyDescent="0.3">
      <c r="A19" s="107"/>
      <c r="B19" s="108"/>
      <c r="C19" s="109"/>
      <c r="D19" s="109"/>
      <c r="E19" s="1"/>
      <c r="F19" s="1"/>
      <c r="G19" s="1"/>
      <c r="H19" s="1"/>
      <c r="I19" s="1"/>
      <c r="J19" s="1"/>
      <c r="K19" s="1"/>
      <c r="L19" s="1"/>
      <c r="M19" s="1"/>
      <c r="N19" s="1"/>
      <c r="O19" s="1"/>
      <c r="P19" s="1"/>
      <c r="Q19" s="1"/>
      <c r="R19" s="1"/>
      <c r="S19" s="1"/>
      <c r="T19" s="1"/>
      <c r="U19" s="1"/>
      <c r="V19" s="1"/>
      <c r="W19" s="1"/>
      <c r="X19" s="1"/>
      <c r="Y19" s="1"/>
      <c r="Z19" s="1"/>
    </row>
    <row r="20" spans="1:26" ht="13.5" customHeight="1" x14ac:dyDescent="0.3">
      <c r="A20" s="107"/>
      <c r="B20" s="108"/>
      <c r="C20" s="109"/>
      <c r="D20" s="109"/>
      <c r="E20" s="1"/>
      <c r="F20" s="1"/>
      <c r="G20" s="1"/>
      <c r="H20" s="1"/>
      <c r="I20" s="1"/>
      <c r="J20" s="1"/>
      <c r="K20" s="1"/>
      <c r="L20" s="1"/>
      <c r="M20" s="1"/>
      <c r="N20" s="1"/>
      <c r="O20" s="1"/>
      <c r="P20" s="1"/>
      <c r="Q20" s="1"/>
      <c r="R20" s="1"/>
      <c r="S20" s="1"/>
      <c r="T20" s="1"/>
      <c r="U20" s="1"/>
      <c r="V20" s="1"/>
      <c r="W20" s="1"/>
      <c r="X20" s="1"/>
      <c r="Y20" s="1"/>
      <c r="Z20" s="1"/>
    </row>
    <row r="21" spans="1:26" ht="29.25" customHeight="1" x14ac:dyDescent="0.3">
      <c r="A21" s="107"/>
      <c r="B21" s="108"/>
      <c r="C21" s="109"/>
      <c r="D21" s="109"/>
      <c r="E21" s="1"/>
      <c r="F21" s="1"/>
      <c r="G21" s="1"/>
      <c r="H21" s="1"/>
      <c r="I21" s="1"/>
      <c r="J21" s="1"/>
      <c r="K21" s="1"/>
      <c r="L21" s="1"/>
      <c r="M21" s="1"/>
      <c r="N21" s="1"/>
      <c r="O21" s="1"/>
      <c r="P21" s="1"/>
      <c r="Q21" s="1"/>
      <c r="R21" s="1"/>
      <c r="S21" s="1"/>
      <c r="T21" s="1"/>
      <c r="U21" s="1"/>
      <c r="V21" s="1"/>
      <c r="W21" s="1"/>
      <c r="X21" s="1"/>
      <c r="Y21" s="1"/>
      <c r="Z21" s="1"/>
    </row>
    <row r="22" spans="1:26" ht="60.75" customHeight="1" x14ac:dyDescent="0.3">
      <c r="A22" s="107"/>
      <c r="B22" s="108"/>
      <c r="C22" s="109"/>
      <c r="D22" s="109"/>
      <c r="E22" s="1"/>
      <c r="F22" s="1"/>
      <c r="G22" s="1"/>
      <c r="H22" s="1"/>
      <c r="I22" s="1"/>
      <c r="J22" s="1"/>
      <c r="K22" s="1"/>
      <c r="L22" s="1"/>
      <c r="M22" s="1"/>
      <c r="N22" s="1"/>
      <c r="O22" s="1"/>
      <c r="P22" s="1"/>
      <c r="Q22" s="1"/>
      <c r="R22" s="1"/>
      <c r="S22" s="1"/>
      <c r="T22" s="1"/>
      <c r="U22" s="1"/>
      <c r="V22" s="1"/>
      <c r="W22" s="1"/>
      <c r="X22" s="1"/>
      <c r="Y22" s="1"/>
      <c r="Z22" s="1"/>
    </row>
    <row r="23" spans="1:26" ht="13.5" customHeight="1" x14ac:dyDescent="0.3">
      <c r="A23" s="107"/>
      <c r="B23" s="108"/>
      <c r="C23" s="109"/>
      <c r="D23" s="109"/>
      <c r="E23" s="1"/>
      <c r="F23" s="1"/>
      <c r="G23" s="1"/>
      <c r="H23" s="1"/>
      <c r="I23" s="1"/>
      <c r="J23" s="1"/>
      <c r="K23" s="1"/>
      <c r="L23" s="1"/>
      <c r="M23" s="1"/>
      <c r="N23" s="1"/>
      <c r="O23" s="1"/>
      <c r="P23" s="1"/>
      <c r="Q23" s="1"/>
      <c r="R23" s="1"/>
      <c r="S23" s="1"/>
      <c r="T23" s="1"/>
      <c r="U23" s="1"/>
      <c r="V23" s="1"/>
      <c r="W23" s="1"/>
      <c r="X23" s="1"/>
      <c r="Y23" s="1"/>
      <c r="Z23" s="1"/>
    </row>
    <row r="24" spans="1:26" ht="13.5" customHeight="1" x14ac:dyDescent="0.3">
      <c r="A24" s="120"/>
      <c r="B24" s="179"/>
      <c r="C24" s="150"/>
      <c r="D24" s="121"/>
      <c r="E24" s="1"/>
      <c r="F24" s="1"/>
      <c r="G24" s="1"/>
      <c r="H24" s="1"/>
      <c r="I24" s="1"/>
      <c r="J24" s="1"/>
      <c r="K24" s="1"/>
      <c r="L24" s="1"/>
      <c r="M24" s="1"/>
      <c r="N24" s="1"/>
      <c r="O24" s="1"/>
      <c r="P24" s="1"/>
      <c r="Q24" s="1"/>
      <c r="R24" s="1"/>
      <c r="S24" s="1"/>
      <c r="T24" s="1"/>
      <c r="U24" s="1"/>
      <c r="V24" s="1"/>
      <c r="W24" s="1"/>
      <c r="X24" s="1"/>
      <c r="Y24" s="1"/>
      <c r="Z24" s="1"/>
    </row>
    <row r="25" spans="1:26" ht="27" customHeight="1" x14ac:dyDescent="0.3">
      <c r="A25" s="122"/>
      <c r="B25" s="123"/>
      <c r="C25" s="122"/>
      <c r="D25" s="122"/>
      <c r="E25" s="1"/>
      <c r="F25" s="1"/>
      <c r="G25" s="1"/>
      <c r="H25" s="1"/>
      <c r="I25" s="1"/>
      <c r="J25" s="1"/>
      <c r="K25" s="1"/>
      <c r="L25" s="1"/>
      <c r="M25" s="1"/>
      <c r="N25" s="1"/>
      <c r="O25" s="1"/>
      <c r="P25" s="1"/>
      <c r="Q25" s="1"/>
      <c r="R25" s="1"/>
      <c r="S25" s="1"/>
      <c r="T25" s="1"/>
      <c r="U25" s="1"/>
      <c r="V25" s="1"/>
      <c r="W25" s="1"/>
      <c r="X25" s="1"/>
      <c r="Y25" s="1"/>
      <c r="Z25" s="1"/>
    </row>
    <row r="26" spans="1:26" ht="13.5" customHeight="1" x14ac:dyDescent="0.3">
      <c r="A26" s="107"/>
      <c r="B26" s="119"/>
      <c r="C26" s="109"/>
      <c r="D26" s="109"/>
      <c r="E26" s="1"/>
      <c r="F26" s="1"/>
      <c r="G26" s="1"/>
      <c r="H26" s="1"/>
      <c r="I26" s="1"/>
      <c r="J26" s="1"/>
      <c r="K26" s="1"/>
      <c r="L26" s="1"/>
      <c r="M26" s="1"/>
      <c r="N26" s="1"/>
      <c r="O26" s="1"/>
      <c r="P26" s="1"/>
      <c r="Q26" s="1"/>
      <c r="R26" s="1"/>
      <c r="S26" s="1"/>
      <c r="T26" s="1"/>
      <c r="U26" s="1"/>
      <c r="V26" s="1"/>
      <c r="W26" s="1"/>
      <c r="X26" s="1"/>
      <c r="Y26" s="1"/>
      <c r="Z26" s="1"/>
    </row>
    <row r="27" spans="1:26" ht="13.5" customHeight="1" x14ac:dyDescent="0.3">
      <c r="A27" s="107"/>
      <c r="B27" s="119"/>
      <c r="C27" s="109"/>
      <c r="D27" s="109"/>
      <c r="E27" s="1"/>
      <c r="F27" s="1"/>
      <c r="G27" s="1"/>
      <c r="H27" s="1"/>
      <c r="I27" s="1"/>
      <c r="J27" s="1"/>
      <c r="K27" s="1"/>
      <c r="L27" s="1"/>
      <c r="M27" s="1"/>
      <c r="N27" s="1"/>
      <c r="O27" s="1"/>
      <c r="P27" s="1"/>
      <c r="Q27" s="1"/>
      <c r="R27" s="1"/>
      <c r="S27" s="1"/>
      <c r="T27" s="1"/>
      <c r="U27" s="1"/>
      <c r="V27" s="1"/>
      <c r="W27" s="1"/>
      <c r="X27" s="1"/>
      <c r="Y27" s="1"/>
      <c r="Z27" s="1"/>
    </row>
    <row r="28" spans="1:26" ht="13.5" customHeight="1" x14ac:dyDescent="0.3">
      <c r="A28" s="107"/>
      <c r="B28" s="108"/>
      <c r="C28" s="109"/>
      <c r="D28" s="109"/>
      <c r="E28" s="1"/>
      <c r="F28" s="1"/>
      <c r="G28" s="1"/>
      <c r="H28" s="1"/>
      <c r="I28" s="1"/>
      <c r="J28" s="1"/>
      <c r="K28" s="1"/>
      <c r="L28" s="1"/>
      <c r="M28" s="1"/>
      <c r="N28" s="1"/>
      <c r="O28" s="1"/>
      <c r="P28" s="1"/>
      <c r="Q28" s="1"/>
      <c r="R28" s="1"/>
      <c r="S28" s="1"/>
      <c r="T28" s="1"/>
      <c r="U28" s="1"/>
      <c r="V28" s="1"/>
      <c r="W28" s="1"/>
      <c r="X28" s="1"/>
      <c r="Y28" s="1"/>
      <c r="Z28" s="1"/>
    </row>
    <row r="29" spans="1:26" ht="43.5" customHeight="1" x14ac:dyDescent="0.3">
      <c r="A29" s="107"/>
      <c r="B29" s="108"/>
      <c r="C29" s="109"/>
      <c r="D29" s="109"/>
      <c r="E29" s="1"/>
      <c r="F29" s="1"/>
      <c r="G29" s="1"/>
      <c r="H29" s="1"/>
      <c r="I29" s="1"/>
      <c r="J29" s="1"/>
      <c r="K29" s="1"/>
      <c r="L29" s="1"/>
      <c r="M29" s="1"/>
      <c r="N29" s="1"/>
      <c r="O29" s="1"/>
      <c r="P29" s="1"/>
      <c r="Q29" s="1"/>
      <c r="R29" s="1"/>
      <c r="S29" s="1"/>
      <c r="T29" s="1"/>
      <c r="U29" s="1"/>
      <c r="V29" s="1"/>
      <c r="W29" s="1"/>
      <c r="X29" s="1"/>
      <c r="Y29" s="1"/>
      <c r="Z29" s="1"/>
    </row>
    <row r="30" spans="1:26" ht="30" customHeight="1" x14ac:dyDescent="0.3">
      <c r="A30" s="120"/>
      <c r="B30" s="179"/>
      <c r="C30" s="150"/>
      <c r="D30" s="121"/>
      <c r="E30" s="1"/>
      <c r="F30" s="1"/>
      <c r="G30" s="1"/>
      <c r="H30" s="1"/>
      <c r="I30" s="1"/>
      <c r="J30" s="1"/>
      <c r="K30" s="1"/>
      <c r="L30" s="1"/>
      <c r="M30" s="1"/>
      <c r="N30" s="1"/>
      <c r="O30" s="1"/>
      <c r="P30" s="1"/>
      <c r="Q30" s="1"/>
      <c r="R30" s="1"/>
      <c r="S30" s="1"/>
      <c r="T30" s="1"/>
      <c r="U30" s="1"/>
      <c r="V30" s="1"/>
      <c r="W30" s="1"/>
      <c r="X30" s="1"/>
      <c r="Y30" s="1"/>
      <c r="Z30" s="1"/>
    </row>
    <row r="31" spans="1:26" ht="13.5" customHeight="1" x14ac:dyDescent="0.3">
      <c r="A31" s="122"/>
      <c r="B31" s="123"/>
      <c r="C31" s="122"/>
      <c r="D31" s="122"/>
      <c r="E31" s="1"/>
      <c r="F31" s="1"/>
      <c r="G31" s="1"/>
      <c r="H31" s="1"/>
      <c r="I31" s="1"/>
      <c r="J31" s="1"/>
      <c r="K31" s="1"/>
      <c r="L31" s="1"/>
      <c r="M31" s="1"/>
      <c r="N31" s="1"/>
      <c r="O31" s="1"/>
      <c r="P31" s="1"/>
      <c r="Q31" s="1"/>
      <c r="R31" s="1"/>
      <c r="S31" s="1"/>
      <c r="T31" s="1"/>
      <c r="U31" s="1"/>
      <c r="V31" s="1"/>
      <c r="W31" s="1"/>
      <c r="X31" s="1"/>
      <c r="Y31" s="1"/>
      <c r="Z31" s="1"/>
    </row>
    <row r="32" spans="1:26" ht="13.5" customHeight="1" x14ac:dyDescent="0.3">
      <c r="A32" s="107"/>
      <c r="B32" s="108"/>
      <c r="C32" s="109"/>
      <c r="D32" s="109"/>
      <c r="E32" s="1"/>
      <c r="F32" s="1"/>
      <c r="G32" s="1"/>
      <c r="H32" s="1"/>
      <c r="I32" s="1"/>
      <c r="J32" s="1"/>
      <c r="K32" s="1"/>
      <c r="L32" s="1"/>
      <c r="M32" s="1"/>
      <c r="N32" s="1"/>
      <c r="O32" s="1"/>
      <c r="P32" s="1"/>
      <c r="Q32" s="1"/>
      <c r="R32" s="1"/>
      <c r="S32" s="1"/>
      <c r="T32" s="1"/>
      <c r="U32" s="1"/>
      <c r="V32" s="1"/>
      <c r="W32" s="1"/>
      <c r="X32" s="1"/>
      <c r="Y32" s="1"/>
      <c r="Z32" s="1"/>
    </row>
    <row r="33" spans="1:26" ht="13.5" customHeight="1" x14ac:dyDescent="0.3">
      <c r="A33" s="107"/>
      <c r="B33" s="108"/>
      <c r="C33" s="109"/>
      <c r="D33" s="109"/>
      <c r="E33" s="1"/>
      <c r="F33" s="1"/>
      <c r="G33" s="1"/>
      <c r="H33" s="1"/>
      <c r="I33" s="1"/>
      <c r="J33" s="1"/>
      <c r="K33" s="1"/>
      <c r="L33" s="1"/>
      <c r="M33" s="1"/>
      <c r="N33" s="1"/>
      <c r="O33" s="1"/>
      <c r="P33" s="1"/>
      <c r="Q33" s="1"/>
      <c r="R33" s="1"/>
      <c r="S33" s="1"/>
      <c r="T33" s="1"/>
      <c r="U33" s="1"/>
      <c r="V33" s="1"/>
      <c r="W33" s="1"/>
      <c r="X33" s="1"/>
      <c r="Y33" s="1"/>
      <c r="Z33" s="1"/>
    </row>
    <row r="34" spans="1:26" ht="54.75" customHeight="1" x14ac:dyDescent="0.3">
      <c r="A34" s="107"/>
      <c r="B34" s="108"/>
      <c r="C34" s="109"/>
      <c r="D34" s="109"/>
      <c r="E34" s="1"/>
      <c r="F34" s="1"/>
      <c r="G34" s="1"/>
      <c r="H34" s="1"/>
      <c r="I34" s="1"/>
      <c r="J34" s="1"/>
      <c r="K34" s="1"/>
      <c r="L34" s="1"/>
      <c r="M34" s="1"/>
      <c r="N34" s="1"/>
      <c r="O34" s="1"/>
      <c r="P34" s="1"/>
      <c r="Q34" s="1"/>
      <c r="R34" s="1"/>
      <c r="S34" s="1"/>
      <c r="T34" s="1"/>
      <c r="U34" s="1"/>
      <c r="V34" s="1"/>
      <c r="W34" s="1"/>
      <c r="X34" s="1"/>
      <c r="Y34" s="1"/>
      <c r="Z34" s="1"/>
    </row>
    <row r="35" spans="1:26" ht="13.5" customHeight="1" x14ac:dyDescent="0.3">
      <c r="A35" s="107"/>
      <c r="B35" s="108"/>
      <c r="C35" s="109"/>
      <c r="D35" s="109"/>
      <c r="E35" s="1"/>
      <c r="F35" s="1"/>
      <c r="G35" s="1"/>
      <c r="H35" s="1"/>
      <c r="I35" s="1"/>
      <c r="J35" s="1"/>
      <c r="K35" s="1"/>
      <c r="L35" s="1"/>
      <c r="M35" s="1"/>
      <c r="N35" s="1"/>
      <c r="O35" s="1"/>
      <c r="P35" s="1"/>
      <c r="Q35" s="1"/>
      <c r="R35" s="1"/>
      <c r="S35" s="1"/>
      <c r="T35" s="1"/>
      <c r="U35" s="1"/>
      <c r="V35" s="1"/>
      <c r="W35" s="1"/>
      <c r="X35" s="1"/>
      <c r="Y35" s="1"/>
      <c r="Z35" s="1"/>
    </row>
    <row r="36" spans="1:26" ht="13.5" customHeight="1" x14ac:dyDescent="0.3">
      <c r="A36" s="107"/>
      <c r="B36" s="108"/>
      <c r="C36" s="109"/>
      <c r="D36" s="109"/>
      <c r="E36" s="1"/>
      <c r="F36" s="1"/>
      <c r="G36" s="1"/>
      <c r="H36" s="1"/>
      <c r="I36" s="1"/>
      <c r="J36" s="1"/>
      <c r="K36" s="1"/>
      <c r="L36" s="1"/>
      <c r="M36" s="1"/>
      <c r="N36" s="1"/>
      <c r="O36" s="1"/>
      <c r="P36" s="1"/>
      <c r="Q36" s="1"/>
      <c r="R36" s="1"/>
      <c r="S36" s="1"/>
      <c r="T36" s="1"/>
      <c r="U36" s="1"/>
      <c r="V36" s="1"/>
      <c r="W36" s="1"/>
      <c r="X36" s="1"/>
      <c r="Y36" s="1"/>
      <c r="Z36" s="1"/>
    </row>
    <row r="37" spans="1:26" ht="13.5" customHeight="1" x14ac:dyDescent="0.3">
      <c r="A37" s="120"/>
      <c r="B37" s="179"/>
      <c r="C37" s="150"/>
      <c r="D37" s="121"/>
      <c r="E37" s="1"/>
      <c r="F37" s="1"/>
      <c r="G37" s="1"/>
      <c r="H37" s="1"/>
      <c r="I37" s="1"/>
      <c r="J37" s="1"/>
      <c r="K37" s="1"/>
      <c r="L37" s="1"/>
      <c r="M37" s="1"/>
      <c r="N37" s="1"/>
      <c r="O37" s="1"/>
      <c r="P37" s="1"/>
      <c r="Q37" s="1"/>
      <c r="R37" s="1"/>
      <c r="S37" s="1"/>
      <c r="T37" s="1"/>
      <c r="U37" s="1"/>
      <c r="V37" s="1"/>
      <c r="W37" s="1"/>
      <c r="X37" s="1"/>
      <c r="Y37" s="1"/>
      <c r="Z37" s="1"/>
    </row>
    <row r="38" spans="1:26" ht="13.5" customHeight="1" x14ac:dyDescent="0.3">
      <c r="A38" s="122"/>
      <c r="B38" s="123"/>
      <c r="C38" s="122"/>
      <c r="D38" s="122"/>
      <c r="E38" s="1"/>
      <c r="F38" s="1"/>
      <c r="G38" s="1"/>
      <c r="H38" s="1"/>
      <c r="I38" s="1"/>
      <c r="J38" s="1"/>
      <c r="K38" s="1"/>
      <c r="L38" s="1"/>
      <c r="M38" s="1"/>
      <c r="N38" s="1"/>
      <c r="O38" s="1"/>
      <c r="P38" s="1"/>
      <c r="Q38" s="1"/>
      <c r="R38" s="1"/>
      <c r="S38" s="1"/>
      <c r="T38" s="1"/>
      <c r="U38" s="1"/>
      <c r="V38" s="1"/>
      <c r="W38" s="1"/>
      <c r="X38" s="1"/>
      <c r="Y38" s="1"/>
      <c r="Z38" s="1"/>
    </row>
    <row r="39" spans="1:26" ht="13.5" customHeight="1" x14ac:dyDescent="0.3">
      <c r="A39" s="107"/>
      <c r="B39" s="108"/>
      <c r="C39" s="109"/>
      <c r="D39" s="109"/>
      <c r="E39" s="1"/>
      <c r="F39" s="1"/>
      <c r="G39" s="1"/>
      <c r="H39" s="1"/>
      <c r="I39" s="1"/>
      <c r="J39" s="1"/>
      <c r="K39" s="1"/>
      <c r="L39" s="1"/>
      <c r="M39" s="1"/>
      <c r="N39" s="1"/>
      <c r="O39" s="1"/>
      <c r="P39" s="1"/>
      <c r="Q39" s="1"/>
      <c r="R39" s="1"/>
      <c r="S39" s="1"/>
      <c r="T39" s="1"/>
      <c r="U39" s="1"/>
      <c r="V39" s="1"/>
      <c r="W39" s="1"/>
      <c r="X39" s="1"/>
      <c r="Y39" s="1"/>
      <c r="Z39" s="1"/>
    </row>
    <row r="40" spans="1:26" ht="13.5" customHeight="1" x14ac:dyDescent="0.3">
      <c r="A40" s="107"/>
      <c r="B40" s="108"/>
      <c r="C40" s="109"/>
      <c r="D40" s="109"/>
      <c r="E40" s="1"/>
      <c r="F40" s="1"/>
      <c r="G40" s="1"/>
      <c r="H40" s="1"/>
      <c r="I40" s="1"/>
      <c r="J40" s="1"/>
      <c r="K40" s="1"/>
      <c r="L40" s="1"/>
      <c r="M40" s="1"/>
      <c r="N40" s="1"/>
      <c r="O40" s="1"/>
      <c r="P40" s="1"/>
      <c r="Q40" s="1"/>
      <c r="R40" s="1"/>
      <c r="S40" s="1"/>
      <c r="T40" s="1"/>
      <c r="U40" s="1"/>
      <c r="V40" s="1"/>
      <c r="W40" s="1"/>
      <c r="X40" s="1"/>
      <c r="Y40" s="1"/>
      <c r="Z40" s="1"/>
    </row>
    <row r="41" spans="1:26" ht="13.5" customHeight="1" x14ac:dyDescent="0.3">
      <c r="A41" s="120"/>
      <c r="B41" s="179"/>
      <c r="C41" s="150"/>
      <c r="D41" s="121"/>
      <c r="E41" s="1"/>
      <c r="F41" s="1"/>
      <c r="G41" s="1"/>
      <c r="H41" s="1"/>
      <c r="I41" s="1"/>
      <c r="J41" s="1"/>
      <c r="K41" s="1"/>
      <c r="L41" s="1"/>
      <c r="M41" s="1"/>
      <c r="N41" s="1"/>
      <c r="O41" s="1"/>
      <c r="P41" s="1"/>
      <c r="Q41" s="1"/>
      <c r="R41" s="1"/>
      <c r="S41" s="1"/>
      <c r="T41" s="1"/>
      <c r="U41" s="1"/>
      <c r="V41" s="1"/>
      <c r="W41" s="1"/>
      <c r="X41" s="1"/>
      <c r="Y41" s="1"/>
      <c r="Z41" s="1"/>
    </row>
    <row r="42" spans="1:26" ht="13.5" customHeight="1" x14ac:dyDescent="0.3">
      <c r="A42" s="122"/>
      <c r="B42" s="123"/>
      <c r="C42" s="122"/>
      <c r="D42" s="122"/>
      <c r="E42" s="1"/>
      <c r="F42" s="1"/>
      <c r="G42" s="1"/>
      <c r="H42" s="1"/>
      <c r="I42" s="1"/>
      <c r="J42" s="1"/>
      <c r="K42" s="1"/>
      <c r="L42" s="1"/>
      <c r="M42" s="1"/>
      <c r="N42" s="1"/>
      <c r="O42" s="1"/>
      <c r="P42" s="1"/>
      <c r="Q42" s="1"/>
      <c r="R42" s="1"/>
      <c r="S42" s="1"/>
      <c r="T42" s="1"/>
      <c r="U42" s="1"/>
      <c r="V42" s="1"/>
      <c r="W42" s="1"/>
      <c r="X42" s="1"/>
      <c r="Y42" s="1"/>
      <c r="Z42" s="1"/>
    </row>
    <row r="43" spans="1:26" ht="13.5" customHeight="1" x14ac:dyDescent="0.3">
      <c r="A43" s="107"/>
      <c r="B43" s="108"/>
      <c r="C43" s="109"/>
      <c r="D43" s="109"/>
      <c r="E43" s="1"/>
      <c r="F43" s="1"/>
      <c r="G43" s="1"/>
      <c r="H43" s="1"/>
      <c r="I43" s="1"/>
      <c r="J43" s="1"/>
      <c r="K43" s="1"/>
      <c r="L43" s="1"/>
      <c r="M43" s="1"/>
      <c r="N43" s="1"/>
      <c r="O43" s="1"/>
      <c r="P43" s="1"/>
      <c r="Q43" s="1"/>
      <c r="R43" s="1"/>
      <c r="S43" s="1"/>
      <c r="T43" s="1"/>
      <c r="U43" s="1"/>
      <c r="V43" s="1"/>
      <c r="W43" s="1"/>
      <c r="X43" s="1"/>
      <c r="Y43" s="1"/>
      <c r="Z43" s="1"/>
    </row>
    <row r="44" spans="1:26" ht="13.5" customHeight="1" x14ac:dyDescent="0.3">
      <c r="A44" s="107"/>
      <c r="B44" s="108"/>
      <c r="C44" s="109"/>
      <c r="D44" s="109"/>
      <c r="E44" s="1"/>
      <c r="F44" s="1"/>
      <c r="G44" s="1"/>
      <c r="H44" s="1"/>
      <c r="I44" s="1"/>
      <c r="J44" s="1"/>
      <c r="K44" s="1"/>
      <c r="L44" s="1"/>
      <c r="M44" s="1"/>
      <c r="N44" s="1"/>
      <c r="O44" s="1"/>
      <c r="P44" s="1"/>
      <c r="Q44" s="1"/>
      <c r="R44" s="1"/>
      <c r="S44" s="1"/>
      <c r="T44" s="1"/>
      <c r="U44" s="1"/>
      <c r="V44" s="1"/>
      <c r="W44" s="1"/>
      <c r="X44" s="1"/>
      <c r="Y44" s="1"/>
      <c r="Z44" s="1"/>
    </row>
    <row r="45" spans="1:26" ht="25.5" customHeight="1" x14ac:dyDescent="0.3">
      <c r="A45" s="107"/>
      <c r="B45" s="108"/>
      <c r="C45" s="109"/>
      <c r="D45" s="109"/>
      <c r="E45" s="1"/>
      <c r="F45" s="1"/>
      <c r="G45" s="1"/>
      <c r="H45" s="1"/>
      <c r="I45" s="1"/>
      <c r="J45" s="1"/>
      <c r="K45" s="1"/>
      <c r="L45" s="1"/>
      <c r="M45" s="1"/>
      <c r="N45" s="1"/>
      <c r="O45" s="1"/>
      <c r="P45" s="1"/>
      <c r="Q45" s="1"/>
      <c r="R45" s="1"/>
      <c r="S45" s="1"/>
      <c r="T45" s="1"/>
      <c r="U45" s="1"/>
      <c r="V45" s="1"/>
      <c r="W45" s="1"/>
      <c r="X45" s="1"/>
      <c r="Y45" s="1"/>
      <c r="Z45" s="1"/>
    </row>
    <row r="46" spans="1:26" ht="13.5" customHeight="1" x14ac:dyDescent="0.3">
      <c r="A46" s="126"/>
      <c r="B46" s="127"/>
      <c r="C46" s="109"/>
      <c r="D46" s="109"/>
      <c r="E46" s="1"/>
      <c r="F46" s="1"/>
      <c r="G46" s="1"/>
      <c r="H46" s="1"/>
      <c r="I46" s="1"/>
      <c r="J46" s="1"/>
      <c r="K46" s="1"/>
      <c r="L46" s="1"/>
      <c r="M46" s="1"/>
      <c r="N46" s="1"/>
      <c r="O46" s="1"/>
      <c r="P46" s="1"/>
      <c r="Q46" s="1"/>
      <c r="R46" s="1"/>
      <c r="S46" s="1"/>
      <c r="T46" s="1"/>
      <c r="U46" s="1"/>
      <c r="V46" s="1"/>
      <c r="W46" s="1"/>
      <c r="X46" s="1"/>
      <c r="Y46" s="1"/>
      <c r="Z46" s="1"/>
    </row>
    <row r="47" spans="1:26" ht="41.25" customHeight="1" x14ac:dyDescent="0.3">
      <c r="A47" s="107"/>
      <c r="B47" s="108"/>
      <c r="C47" s="109"/>
      <c r="D47" s="109"/>
      <c r="E47" s="1"/>
      <c r="F47" s="1"/>
      <c r="G47" s="1"/>
      <c r="H47" s="1"/>
      <c r="I47" s="1"/>
      <c r="J47" s="1"/>
      <c r="K47" s="1"/>
      <c r="L47" s="1"/>
      <c r="M47" s="1"/>
      <c r="N47" s="1"/>
      <c r="O47" s="1"/>
      <c r="P47" s="1"/>
      <c r="Q47" s="1"/>
      <c r="R47" s="1"/>
      <c r="S47" s="1"/>
      <c r="T47" s="1"/>
      <c r="U47" s="1"/>
      <c r="V47" s="1"/>
      <c r="W47" s="1"/>
      <c r="X47" s="1"/>
      <c r="Y47" s="1"/>
      <c r="Z47" s="1"/>
    </row>
    <row r="48" spans="1:26" ht="13.5" customHeight="1" x14ac:dyDescent="0.3">
      <c r="A48" s="120"/>
      <c r="B48" s="179"/>
      <c r="C48" s="150"/>
      <c r="D48" s="121"/>
      <c r="E48" s="1"/>
      <c r="F48" s="1"/>
      <c r="G48" s="1"/>
      <c r="H48" s="1"/>
      <c r="I48" s="1"/>
      <c r="J48" s="1"/>
      <c r="K48" s="1"/>
      <c r="L48" s="1"/>
      <c r="M48" s="1"/>
      <c r="N48" s="1"/>
      <c r="O48" s="1"/>
      <c r="P48" s="1"/>
      <c r="Q48" s="1"/>
      <c r="R48" s="1"/>
      <c r="S48" s="1"/>
      <c r="T48" s="1"/>
      <c r="U48" s="1"/>
      <c r="V48" s="1"/>
      <c r="W48" s="1"/>
      <c r="X48" s="1"/>
      <c r="Y48" s="1"/>
      <c r="Z48" s="1"/>
    </row>
    <row r="49" spans="1:26" ht="13.5" customHeight="1" x14ac:dyDescent="0.3">
      <c r="A49" s="122"/>
      <c r="B49" s="123"/>
      <c r="C49" s="122"/>
      <c r="D49" s="122"/>
      <c r="E49" s="1"/>
      <c r="F49" s="1"/>
      <c r="G49" s="1"/>
      <c r="H49" s="1"/>
      <c r="I49" s="1"/>
      <c r="J49" s="1"/>
      <c r="K49" s="1"/>
      <c r="L49" s="1"/>
      <c r="M49" s="1"/>
      <c r="N49" s="1"/>
      <c r="O49" s="1"/>
      <c r="P49" s="1"/>
      <c r="Q49" s="1"/>
      <c r="R49" s="1"/>
      <c r="S49" s="1"/>
      <c r="T49" s="1"/>
      <c r="U49" s="1"/>
      <c r="V49" s="1"/>
      <c r="W49" s="1"/>
      <c r="X49" s="1"/>
      <c r="Y49" s="1"/>
      <c r="Z49" s="1"/>
    </row>
    <row r="50" spans="1:26" ht="13.5" customHeight="1" x14ac:dyDescent="0.3">
      <c r="A50" s="107"/>
      <c r="B50" s="108"/>
      <c r="C50" s="109"/>
      <c r="D50" s="109"/>
      <c r="E50" s="1"/>
      <c r="F50" s="1"/>
      <c r="G50" s="1"/>
      <c r="H50" s="1"/>
      <c r="I50" s="1"/>
      <c r="J50" s="1"/>
      <c r="K50" s="1"/>
      <c r="L50" s="1"/>
      <c r="M50" s="1"/>
      <c r="N50" s="1"/>
      <c r="O50" s="1"/>
      <c r="P50" s="1"/>
      <c r="Q50" s="1"/>
      <c r="R50" s="1"/>
      <c r="S50" s="1"/>
      <c r="T50" s="1"/>
      <c r="U50" s="1"/>
      <c r="V50" s="1"/>
      <c r="W50" s="1"/>
      <c r="X50" s="1"/>
      <c r="Y50" s="1"/>
      <c r="Z50" s="1"/>
    </row>
    <row r="51" spans="1:26" ht="13.5" customHeight="1" x14ac:dyDescent="0.3">
      <c r="A51" s="107"/>
      <c r="B51" s="108"/>
      <c r="C51" s="109"/>
      <c r="D51" s="109"/>
      <c r="E51" s="1"/>
      <c r="F51" s="1"/>
      <c r="G51" s="1"/>
      <c r="H51" s="1"/>
      <c r="I51" s="1"/>
      <c r="J51" s="1"/>
      <c r="K51" s="1"/>
      <c r="L51" s="1"/>
      <c r="M51" s="1"/>
      <c r="N51" s="1"/>
      <c r="O51" s="1"/>
      <c r="P51" s="1"/>
      <c r="Q51" s="1"/>
      <c r="R51" s="1"/>
      <c r="S51" s="1"/>
      <c r="T51" s="1"/>
      <c r="U51" s="1"/>
      <c r="V51" s="1"/>
      <c r="W51" s="1"/>
      <c r="X51" s="1"/>
      <c r="Y51" s="1"/>
      <c r="Z51" s="1"/>
    </row>
    <row r="52" spans="1:26" ht="13.5" customHeight="1" x14ac:dyDescent="0.3">
      <c r="A52" s="107"/>
      <c r="B52" s="108"/>
      <c r="C52" s="109"/>
      <c r="D52" s="109"/>
      <c r="E52" s="1"/>
      <c r="F52" s="1"/>
      <c r="G52" s="1"/>
      <c r="H52" s="1"/>
      <c r="I52" s="1"/>
      <c r="J52" s="1"/>
      <c r="K52" s="1"/>
      <c r="L52" s="1"/>
      <c r="M52" s="1"/>
      <c r="N52" s="1"/>
      <c r="O52" s="1"/>
      <c r="P52" s="1"/>
      <c r="Q52" s="1"/>
      <c r="R52" s="1"/>
      <c r="S52" s="1"/>
      <c r="T52" s="1"/>
      <c r="U52" s="1"/>
      <c r="V52" s="1"/>
      <c r="W52" s="1"/>
      <c r="X52" s="1"/>
      <c r="Y52" s="1"/>
      <c r="Z52" s="1"/>
    </row>
    <row r="53" spans="1:26" ht="13.5" customHeight="1" x14ac:dyDescent="0.3">
      <c r="A53" s="107"/>
      <c r="B53" s="108"/>
      <c r="C53" s="109"/>
      <c r="D53" s="109"/>
      <c r="E53" s="1"/>
      <c r="F53" s="1"/>
      <c r="G53" s="1"/>
      <c r="H53" s="1"/>
      <c r="I53" s="1"/>
      <c r="J53" s="1"/>
      <c r="K53" s="1"/>
      <c r="L53" s="1"/>
      <c r="M53" s="1"/>
      <c r="N53" s="1"/>
      <c r="O53" s="1"/>
      <c r="P53" s="1"/>
      <c r="Q53" s="1"/>
      <c r="R53" s="1"/>
      <c r="S53" s="1"/>
      <c r="T53" s="1"/>
      <c r="U53" s="1"/>
      <c r="V53" s="1"/>
      <c r="W53" s="1"/>
      <c r="X53" s="1"/>
      <c r="Y53" s="1"/>
      <c r="Z53" s="1"/>
    </row>
    <row r="54" spans="1:26" ht="13.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8">
    <mergeCell ref="B6:K6"/>
    <mergeCell ref="B30:C30"/>
    <mergeCell ref="B37:C37"/>
    <mergeCell ref="B41:C41"/>
    <mergeCell ref="B48:C48"/>
    <mergeCell ref="H7:I7"/>
    <mergeCell ref="J7:K7"/>
    <mergeCell ref="J8:J9"/>
    <mergeCell ref="K8:K9"/>
    <mergeCell ref="B11:C11"/>
    <mergeCell ref="B16:C16"/>
    <mergeCell ref="B24:C24"/>
    <mergeCell ref="A1:K1"/>
    <mergeCell ref="B2:K2"/>
    <mergeCell ref="H3:I3"/>
    <mergeCell ref="J3:K3"/>
    <mergeCell ref="J4:J5"/>
    <mergeCell ref="K4:K5"/>
  </mergeCells>
  <dataValidations count="1">
    <dataValidation type="decimal" allowBlank="1" showErrorMessage="1" sqref="G4:G5 G8:G9" xr:uid="{00000000-0002-0000-0700-000000000000}">
      <formula1>0</formula1>
      <formula2>100</formula2>
    </dataValidation>
  </dataValidation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zoomScale="40" zoomScaleNormal="40" workbookViewId="0">
      <selection sqref="A1:K1"/>
    </sheetView>
  </sheetViews>
  <sheetFormatPr baseColWidth="10" defaultColWidth="14.44140625" defaultRowHeight="15" customHeight="1" x14ac:dyDescent="0.3"/>
  <cols>
    <col min="1" max="1" width="18.6640625" customWidth="1"/>
    <col min="2" max="2" width="106.6640625" customWidth="1"/>
    <col min="3" max="4" width="28.44140625" customWidth="1"/>
    <col min="5" max="5" width="31.6640625" customWidth="1"/>
    <col min="6" max="6" width="57.44140625" customWidth="1"/>
    <col min="7" max="8" width="38.44140625" customWidth="1"/>
    <col min="9" max="10" width="31.44140625" customWidth="1"/>
    <col min="11" max="11" width="34.33203125" customWidth="1"/>
    <col min="12" max="26" width="11.44140625" customWidth="1"/>
  </cols>
  <sheetData>
    <row r="1" spans="1:26" ht="13.5" customHeight="1" x14ac:dyDescent="0.3">
      <c r="A1" s="178" t="s">
        <v>387</v>
      </c>
      <c r="B1" s="152"/>
      <c r="C1" s="152"/>
      <c r="D1" s="152"/>
      <c r="E1" s="152"/>
      <c r="F1" s="152"/>
      <c r="G1" s="152"/>
      <c r="H1" s="152"/>
      <c r="I1" s="152"/>
      <c r="J1" s="152"/>
      <c r="K1" s="153"/>
      <c r="L1" s="1"/>
      <c r="M1" s="1"/>
      <c r="N1" s="1"/>
      <c r="O1" s="1"/>
      <c r="P1" s="1"/>
      <c r="Q1" s="1"/>
      <c r="R1" s="1"/>
      <c r="S1" s="1"/>
      <c r="T1" s="1"/>
      <c r="U1" s="1"/>
      <c r="V1" s="1"/>
      <c r="W1" s="1"/>
      <c r="X1" s="1"/>
      <c r="Y1" s="1"/>
      <c r="Z1" s="1"/>
    </row>
    <row r="2" spans="1:26" ht="13.5" customHeight="1" x14ac:dyDescent="0.3">
      <c r="A2" s="78" t="s">
        <v>388</v>
      </c>
      <c r="B2" s="173" t="s">
        <v>389</v>
      </c>
      <c r="C2" s="152"/>
      <c r="D2" s="152"/>
      <c r="E2" s="152"/>
      <c r="F2" s="152"/>
      <c r="G2" s="152"/>
      <c r="H2" s="152"/>
      <c r="I2" s="152"/>
      <c r="J2" s="152"/>
      <c r="K2" s="153"/>
      <c r="L2" s="1"/>
      <c r="M2" s="1"/>
      <c r="N2" s="1"/>
      <c r="O2" s="1"/>
      <c r="P2" s="1"/>
      <c r="Q2" s="1"/>
      <c r="R2" s="1"/>
      <c r="S2" s="1"/>
      <c r="T2" s="1"/>
      <c r="U2" s="1"/>
      <c r="V2" s="1"/>
      <c r="W2" s="1"/>
      <c r="X2" s="1"/>
      <c r="Y2" s="1"/>
      <c r="Z2" s="1"/>
    </row>
    <row r="3" spans="1:26" ht="13.5" customHeight="1" x14ac:dyDescent="0.3">
      <c r="A3" s="79" t="s">
        <v>3</v>
      </c>
      <c r="B3" s="80" t="s">
        <v>4</v>
      </c>
      <c r="C3" s="79" t="s">
        <v>5</v>
      </c>
      <c r="D3" s="80" t="s">
        <v>6</v>
      </c>
      <c r="E3" s="80" t="s">
        <v>7</v>
      </c>
      <c r="F3" s="80" t="s">
        <v>8</v>
      </c>
      <c r="G3" s="43" t="s">
        <v>9</v>
      </c>
      <c r="H3" s="171" t="s">
        <v>10</v>
      </c>
      <c r="I3" s="153"/>
      <c r="J3" s="171" t="s">
        <v>11</v>
      </c>
      <c r="K3" s="153"/>
      <c r="L3" s="1"/>
      <c r="M3" s="1"/>
      <c r="N3" s="1"/>
      <c r="O3" s="1"/>
      <c r="P3" s="1"/>
      <c r="Q3" s="1"/>
      <c r="R3" s="1"/>
      <c r="S3" s="1"/>
      <c r="T3" s="1"/>
      <c r="U3" s="1"/>
      <c r="V3" s="1"/>
      <c r="W3" s="1"/>
      <c r="X3" s="1"/>
      <c r="Y3" s="1"/>
      <c r="Z3" s="1"/>
    </row>
    <row r="4" spans="1:26" ht="409.6" x14ac:dyDescent="0.3">
      <c r="A4" s="7" t="s">
        <v>390</v>
      </c>
      <c r="B4" s="81" t="s">
        <v>391</v>
      </c>
      <c r="C4" s="9" t="s">
        <v>87</v>
      </c>
      <c r="D4" s="9" t="s">
        <v>316</v>
      </c>
      <c r="E4" s="18" t="s">
        <v>392</v>
      </c>
      <c r="F4" s="11" t="s">
        <v>393</v>
      </c>
      <c r="G4" s="12">
        <v>95</v>
      </c>
      <c r="H4" s="12" t="str">
        <f t="shared" ref="H4:H5" si="0">IF(G4&lt;=30,"No se cumple",IF(G4&lt;=59,"Se cumple insatisfactoriamente",IF(G4&lt;=79,"Se cumple aceptablemente",IF(G4&lt;=89,"Se cumple en alto grado",IF(G4&gt;=90,"Se cumple plenamente","EROR")))))</f>
        <v>Se cumple plenamente</v>
      </c>
      <c r="I4" s="12" t="str">
        <f t="shared" ref="I4:I5" si="1">IF(G4&lt;=59,"Debilidad",IF(G4&lt;=79,"Oportunidad",IF(G4&gt;=80,"Fortaleza","EROR")))</f>
        <v>Fortaleza</v>
      </c>
      <c r="J4" s="146">
        <f>(G4+G5)/2</f>
        <v>93.5</v>
      </c>
      <c r="K4" s="146" t="str">
        <f>IF(J4&lt;=30,"No se cumple",IF(J4&lt;=59,"Se cumple insatisfactoriamente",IF(J4&lt;=79,"Se cumple aceptablemente",IF(J4&lt;=89,"Se cumple en alto grado",IF(J4&gt;=90,"Se cumple plenamente","EROR")))))</f>
        <v>Se cumple plenamente</v>
      </c>
      <c r="L4" s="1"/>
      <c r="M4" s="1"/>
      <c r="N4" s="1"/>
      <c r="O4" s="1"/>
      <c r="P4" s="1"/>
      <c r="Q4" s="1"/>
      <c r="R4" s="1"/>
      <c r="S4" s="1"/>
      <c r="T4" s="1"/>
      <c r="U4" s="1"/>
      <c r="V4" s="1"/>
      <c r="W4" s="1"/>
      <c r="X4" s="1"/>
      <c r="Y4" s="1"/>
      <c r="Z4" s="1"/>
    </row>
    <row r="5" spans="1:26" ht="192.75" customHeight="1" x14ac:dyDescent="0.3">
      <c r="A5" s="29" t="s">
        <v>394</v>
      </c>
      <c r="B5" s="128" t="s">
        <v>395</v>
      </c>
      <c r="C5" s="31" t="s">
        <v>120</v>
      </c>
      <c r="D5" s="31" t="s">
        <v>361</v>
      </c>
      <c r="E5" s="32" t="s">
        <v>42</v>
      </c>
      <c r="F5" s="37" t="s">
        <v>396</v>
      </c>
      <c r="G5" s="38">
        <v>92</v>
      </c>
      <c r="H5" s="38" t="str">
        <f t="shared" si="0"/>
        <v>Se cumple plenamente</v>
      </c>
      <c r="I5" s="38" t="str">
        <f t="shared" si="1"/>
        <v>Fortaleza</v>
      </c>
      <c r="J5" s="147"/>
      <c r="K5" s="147"/>
      <c r="L5" s="87"/>
      <c r="M5" s="87"/>
      <c r="N5" s="87"/>
      <c r="O5" s="87"/>
      <c r="P5" s="87"/>
      <c r="Q5" s="87"/>
      <c r="R5" s="87"/>
      <c r="S5" s="87"/>
      <c r="T5" s="87"/>
      <c r="U5" s="87"/>
      <c r="V5" s="87"/>
      <c r="W5" s="87"/>
      <c r="X5" s="87"/>
      <c r="Y5" s="87"/>
      <c r="Z5" s="87"/>
    </row>
    <row r="6" spans="1:26" ht="13.5" customHeight="1" x14ac:dyDescent="0.3">
      <c r="A6" s="2" t="s">
        <v>397</v>
      </c>
      <c r="B6" s="173" t="s">
        <v>398</v>
      </c>
      <c r="C6" s="152"/>
      <c r="D6" s="152"/>
      <c r="E6" s="152"/>
      <c r="F6" s="152"/>
      <c r="G6" s="152"/>
      <c r="H6" s="152"/>
      <c r="I6" s="152"/>
      <c r="J6" s="152"/>
      <c r="K6" s="153"/>
      <c r="L6" s="1"/>
      <c r="M6" s="1"/>
      <c r="N6" s="1"/>
      <c r="O6" s="1"/>
      <c r="P6" s="1"/>
      <c r="Q6" s="1"/>
      <c r="R6" s="1"/>
      <c r="S6" s="1"/>
      <c r="T6" s="1"/>
      <c r="U6" s="1"/>
      <c r="V6" s="1"/>
      <c r="W6" s="1"/>
      <c r="X6" s="1"/>
      <c r="Y6" s="1"/>
      <c r="Z6" s="1"/>
    </row>
    <row r="7" spans="1:26" ht="13.5" customHeight="1" x14ac:dyDescent="0.3">
      <c r="A7" s="79" t="s">
        <v>3</v>
      </c>
      <c r="B7" s="80" t="s">
        <v>4</v>
      </c>
      <c r="C7" s="79" t="s">
        <v>5</v>
      </c>
      <c r="D7" s="80" t="s">
        <v>6</v>
      </c>
      <c r="E7" s="80" t="s">
        <v>7</v>
      </c>
      <c r="F7" s="80" t="s">
        <v>8</v>
      </c>
      <c r="G7" s="43" t="s">
        <v>9</v>
      </c>
      <c r="H7" s="171" t="s">
        <v>10</v>
      </c>
      <c r="I7" s="153"/>
      <c r="J7" s="171" t="s">
        <v>11</v>
      </c>
      <c r="K7" s="153"/>
      <c r="L7" s="1"/>
      <c r="M7" s="1"/>
      <c r="N7" s="1"/>
      <c r="O7" s="1"/>
      <c r="P7" s="1"/>
      <c r="Q7" s="1"/>
      <c r="R7" s="1"/>
      <c r="S7" s="1"/>
      <c r="T7" s="1"/>
      <c r="U7" s="1"/>
      <c r="V7" s="1"/>
      <c r="W7" s="1"/>
      <c r="X7" s="1"/>
      <c r="Y7" s="1"/>
      <c r="Z7" s="1"/>
    </row>
    <row r="8" spans="1:26" ht="159" customHeight="1" x14ac:dyDescent="0.3">
      <c r="A8" s="7" t="s">
        <v>399</v>
      </c>
      <c r="B8" s="97" t="s">
        <v>400</v>
      </c>
      <c r="C8" s="17" t="s">
        <v>149</v>
      </c>
      <c r="D8" s="9" t="s">
        <v>316</v>
      </c>
      <c r="E8" s="18" t="s">
        <v>42</v>
      </c>
      <c r="F8" s="11" t="s">
        <v>401</v>
      </c>
      <c r="G8" s="12">
        <v>95</v>
      </c>
      <c r="H8" s="12" t="str">
        <f t="shared" ref="H8:H9" si="2">IF(G8&lt;=30,"No se cumple",IF(G8&lt;=59,"Se cumple insatisfactoriamente",IF(G8&lt;=79,"Se cumple aceptablemente",IF(G8&lt;=89,"Se cumple en alto grado",IF(G8&gt;=90,"Se cumple plenamente","EROR")))))</f>
        <v>Se cumple plenamente</v>
      </c>
      <c r="I8" s="12" t="str">
        <f t="shared" ref="I8:I9" si="3">IF(G8&lt;=59,"Debilidad",IF(G8&lt;=79,"Oportunidad",IF(G8&gt;=80,"Fortaleza","EROR")))</f>
        <v>Fortaleza</v>
      </c>
      <c r="J8" s="146">
        <f>(G8+G9)/2</f>
        <v>92.5</v>
      </c>
      <c r="K8" s="146" t="str">
        <f>IF(J8&lt;=30,"No se cumple",IF(J8&lt;=59,"Se cumple insatisfactoriamente",IF(J8&lt;=79,"Se cumple aceptablemente",IF(J8&lt;=89,"Se cumple en alto grado",IF(J8&gt;=90,"Se cumple plenamente","EROR")))))</f>
        <v>Se cumple plenamente</v>
      </c>
      <c r="L8" s="1"/>
      <c r="M8" s="1"/>
      <c r="N8" s="1"/>
      <c r="O8" s="1"/>
      <c r="P8" s="1"/>
      <c r="Q8" s="1"/>
      <c r="R8" s="1"/>
      <c r="S8" s="1"/>
      <c r="T8" s="1"/>
      <c r="U8" s="1"/>
      <c r="V8" s="1"/>
      <c r="W8" s="1"/>
      <c r="X8" s="1"/>
      <c r="Y8" s="1"/>
      <c r="Z8" s="1"/>
    </row>
    <row r="9" spans="1:26" ht="147.75" customHeight="1" x14ac:dyDescent="0.3">
      <c r="A9" s="129" t="s">
        <v>402</v>
      </c>
      <c r="B9" s="130" t="s">
        <v>403</v>
      </c>
      <c r="C9" s="131" t="s">
        <v>228</v>
      </c>
      <c r="D9" s="131" t="s">
        <v>404</v>
      </c>
      <c r="E9" s="132" t="s">
        <v>42</v>
      </c>
      <c r="F9" s="133" t="s">
        <v>405</v>
      </c>
      <c r="G9" s="134">
        <v>90</v>
      </c>
      <c r="H9" s="134" t="str">
        <f t="shared" si="2"/>
        <v>Se cumple plenamente</v>
      </c>
      <c r="I9" s="134" t="str">
        <f t="shared" si="3"/>
        <v>Fortaleza</v>
      </c>
      <c r="J9" s="147"/>
      <c r="K9" s="148"/>
      <c r="L9" s="1"/>
      <c r="M9" s="1"/>
      <c r="N9" s="1"/>
      <c r="O9" s="1"/>
      <c r="P9" s="1"/>
      <c r="Q9" s="1"/>
      <c r="R9" s="1"/>
      <c r="S9" s="1"/>
      <c r="T9" s="1"/>
      <c r="U9" s="1"/>
      <c r="V9" s="1"/>
      <c r="W9" s="1"/>
      <c r="X9" s="1"/>
      <c r="Y9" s="1"/>
      <c r="Z9" s="1"/>
    </row>
    <row r="10" spans="1:26" ht="13.5" customHeight="1" x14ac:dyDescent="0.3">
      <c r="A10" s="107"/>
      <c r="B10" s="119"/>
      <c r="C10" s="106"/>
      <c r="D10" s="106"/>
      <c r="E10" s="1"/>
      <c r="F10" s="1"/>
      <c r="G10" s="1"/>
      <c r="H10" s="1"/>
      <c r="I10" s="1"/>
      <c r="J10" s="1"/>
      <c r="K10" s="1"/>
      <c r="L10" s="1"/>
      <c r="M10" s="1"/>
      <c r="N10" s="1"/>
      <c r="O10" s="1"/>
      <c r="P10" s="1"/>
      <c r="Q10" s="1"/>
      <c r="R10" s="1"/>
      <c r="S10" s="1"/>
      <c r="T10" s="1"/>
      <c r="U10" s="1"/>
      <c r="V10" s="1"/>
      <c r="W10" s="1"/>
      <c r="X10" s="1"/>
      <c r="Y10" s="1"/>
      <c r="Z10" s="1"/>
    </row>
    <row r="11" spans="1:26" ht="13.5" customHeight="1" x14ac:dyDescent="0.3">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3.5" customHeight="1" x14ac:dyDescent="0.3">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3.5" customHeight="1"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3.5" customHeight="1"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3.5" customHeight="1"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3.5" customHeight="1"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3.5" customHeight="1"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3.5" customHeight="1"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3.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3.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3.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3.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3.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1">
    <mergeCell ref="H7:I7"/>
    <mergeCell ref="J7:K7"/>
    <mergeCell ref="J8:J9"/>
    <mergeCell ref="K8:K9"/>
    <mergeCell ref="A1:K1"/>
    <mergeCell ref="B2:K2"/>
    <mergeCell ref="H3:I3"/>
    <mergeCell ref="J3:K3"/>
    <mergeCell ref="J4:J5"/>
    <mergeCell ref="K4:K5"/>
    <mergeCell ref="B6:K6"/>
  </mergeCells>
  <dataValidations count="1">
    <dataValidation type="decimal" allowBlank="1" showErrorMessage="1" sqref="G4:G5 G8:G9" xr:uid="{00000000-0002-0000-0800-000000000000}">
      <formula1>0</formula1>
      <formula2>100</formula2>
    </dataValidation>
  </dataValidation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topLeftCell="E10" zoomScale="73" zoomScaleNormal="40" workbookViewId="0">
      <selection activeCell="G13" sqref="G13"/>
    </sheetView>
  </sheetViews>
  <sheetFormatPr baseColWidth="10" defaultColWidth="14.44140625" defaultRowHeight="15" customHeight="1" x14ac:dyDescent="0.3"/>
  <cols>
    <col min="1" max="1" width="18.6640625" customWidth="1"/>
    <col min="2" max="2" width="106.6640625" customWidth="1"/>
    <col min="3" max="4" width="28.44140625" customWidth="1"/>
    <col min="5" max="5" width="28.6640625" customWidth="1"/>
    <col min="6" max="6" width="49.6640625" customWidth="1"/>
    <col min="7" max="8" width="37.6640625" customWidth="1"/>
    <col min="9" max="10" width="32.44140625" customWidth="1"/>
    <col min="11" max="11" width="31.33203125" customWidth="1"/>
    <col min="12" max="26" width="11.44140625" customWidth="1"/>
  </cols>
  <sheetData>
    <row r="1" spans="1:26" ht="13.5" customHeight="1" x14ac:dyDescent="0.3">
      <c r="A1" s="181" t="s">
        <v>406</v>
      </c>
      <c r="B1" s="152"/>
      <c r="C1" s="152"/>
      <c r="D1" s="152"/>
      <c r="E1" s="152"/>
      <c r="F1" s="152"/>
      <c r="G1" s="152"/>
      <c r="H1" s="152"/>
      <c r="I1" s="152"/>
      <c r="J1" s="152"/>
      <c r="K1" s="153"/>
      <c r="L1" s="1"/>
      <c r="M1" s="1"/>
      <c r="N1" s="1"/>
      <c r="O1" s="1"/>
      <c r="P1" s="1"/>
      <c r="Q1" s="1"/>
      <c r="R1" s="1"/>
      <c r="S1" s="1"/>
      <c r="T1" s="1"/>
      <c r="U1" s="1"/>
      <c r="V1" s="1"/>
      <c r="W1" s="1"/>
      <c r="X1" s="1"/>
      <c r="Y1" s="1"/>
      <c r="Z1" s="1"/>
    </row>
    <row r="2" spans="1:26" ht="13.5" customHeight="1" x14ac:dyDescent="0.3">
      <c r="A2" s="78" t="s">
        <v>407</v>
      </c>
      <c r="B2" s="151" t="s">
        <v>408</v>
      </c>
      <c r="C2" s="152"/>
      <c r="D2" s="152"/>
      <c r="E2" s="152"/>
      <c r="F2" s="152"/>
      <c r="G2" s="152"/>
      <c r="H2" s="152"/>
      <c r="I2" s="152"/>
      <c r="J2" s="152"/>
      <c r="K2" s="153"/>
      <c r="L2" s="1"/>
      <c r="M2" s="1"/>
      <c r="N2" s="1"/>
      <c r="O2" s="1"/>
      <c r="P2" s="1"/>
      <c r="Q2" s="1"/>
      <c r="R2" s="1"/>
      <c r="S2" s="1"/>
      <c r="T2" s="1"/>
      <c r="U2" s="1"/>
      <c r="V2" s="1"/>
      <c r="W2" s="1"/>
      <c r="X2" s="1"/>
      <c r="Y2" s="1"/>
      <c r="Z2" s="1"/>
    </row>
    <row r="3" spans="1:26" ht="13.5" customHeight="1" x14ac:dyDescent="0.3">
      <c r="A3" s="79" t="s">
        <v>3</v>
      </c>
      <c r="B3" s="80" t="s">
        <v>4</v>
      </c>
      <c r="C3" s="79" t="s">
        <v>5</v>
      </c>
      <c r="D3" s="80" t="s">
        <v>6</v>
      </c>
      <c r="E3" s="80" t="s">
        <v>7</v>
      </c>
      <c r="F3" s="80" t="s">
        <v>8</v>
      </c>
      <c r="G3" s="43" t="s">
        <v>9</v>
      </c>
      <c r="H3" s="171" t="s">
        <v>10</v>
      </c>
      <c r="I3" s="153"/>
      <c r="J3" s="171" t="s">
        <v>11</v>
      </c>
      <c r="K3" s="153"/>
      <c r="L3" s="1"/>
      <c r="M3" s="1"/>
      <c r="N3" s="1"/>
      <c r="O3" s="1"/>
      <c r="P3" s="1"/>
      <c r="Q3" s="1"/>
      <c r="R3" s="1"/>
      <c r="S3" s="1"/>
      <c r="T3" s="1"/>
      <c r="U3" s="1"/>
      <c r="V3" s="1"/>
      <c r="W3" s="1"/>
      <c r="X3" s="1"/>
      <c r="Y3" s="1"/>
      <c r="Z3" s="1"/>
    </row>
    <row r="4" spans="1:26" ht="409.6" x14ac:dyDescent="0.3">
      <c r="A4" s="19" t="s">
        <v>409</v>
      </c>
      <c r="B4" s="93" t="s">
        <v>410</v>
      </c>
      <c r="C4" s="35" t="s">
        <v>32</v>
      </c>
      <c r="D4" s="35" t="s">
        <v>15</v>
      </c>
      <c r="E4" s="36" t="s">
        <v>411</v>
      </c>
      <c r="F4" s="22" t="s">
        <v>412</v>
      </c>
      <c r="G4" s="23">
        <v>95</v>
      </c>
      <c r="H4" s="23" t="str">
        <f t="shared" ref="H4:H5" si="0">IF(G4&lt;=30,"No se cumple",IF(G4&lt;=59,"Se cumple insatisfactoriamente",IF(G4&lt;=79,"Se cumple aceptablemente",IF(G4&lt;=89,"Se cumple en alto grado",IF(G4&gt;=90,"Se cumple plenamente","EROR")))))</f>
        <v>Se cumple plenamente</v>
      </c>
      <c r="I4" s="23" t="str">
        <f t="shared" ref="I4:I5" si="1">IF(G4&lt;=59,"Debilidad",IF(G4&lt;=79,"Oportunidad",IF(G4&gt;=80,"Fortaleza","EROR")))</f>
        <v>Fortaleza</v>
      </c>
      <c r="J4" s="146">
        <f>(G4+G5)/2</f>
        <v>94.5</v>
      </c>
      <c r="K4" s="146" t="str">
        <f>IF(J4&lt;=30,"No se cumple",IF(J4&lt;=59,"Se cumple insatisfactoriamente",IF(J4&lt;=79,"Se cumple aceptablemente",IF(J4&lt;=89,"Se cumple en alto grado",IF(J4&gt;=90,"Se cumple plenamente","EROR")))))</f>
        <v>Se cumple plenamente</v>
      </c>
      <c r="L4" s="24"/>
      <c r="M4" s="24"/>
      <c r="N4" s="24"/>
      <c r="O4" s="24"/>
      <c r="P4" s="24"/>
      <c r="Q4" s="24"/>
      <c r="R4" s="24"/>
      <c r="S4" s="24"/>
      <c r="T4" s="24"/>
      <c r="U4" s="24"/>
      <c r="V4" s="24"/>
      <c r="W4" s="24"/>
      <c r="X4" s="24"/>
      <c r="Y4" s="24"/>
      <c r="Z4" s="24"/>
    </row>
    <row r="5" spans="1:26" ht="372.6" x14ac:dyDescent="0.3">
      <c r="A5" s="29" t="s">
        <v>413</v>
      </c>
      <c r="B5" s="30" t="s">
        <v>414</v>
      </c>
      <c r="C5" s="31" t="s">
        <v>120</v>
      </c>
      <c r="D5" s="31" t="s">
        <v>361</v>
      </c>
      <c r="E5" s="32" t="s">
        <v>42</v>
      </c>
      <c r="F5" s="37" t="s">
        <v>415</v>
      </c>
      <c r="G5" s="38">
        <v>94</v>
      </c>
      <c r="H5" s="38" t="str">
        <f t="shared" si="0"/>
        <v>Se cumple plenamente</v>
      </c>
      <c r="I5" s="38" t="str">
        <f t="shared" si="1"/>
        <v>Fortaleza</v>
      </c>
      <c r="J5" s="147"/>
      <c r="K5" s="147"/>
      <c r="L5" s="87"/>
      <c r="M5" s="87"/>
      <c r="N5" s="87"/>
      <c r="O5" s="87"/>
      <c r="P5" s="87"/>
      <c r="Q5" s="87"/>
      <c r="R5" s="87"/>
      <c r="S5" s="87"/>
      <c r="T5" s="87"/>
      <c r="U5" s="87"/>
      <c r="V5" s="87"/>
      <c r="W5" s="87"/>
      <c r="X5" s="87"/>
      <c r="Y5" s="87"/>
      <c r="Z5" s="87"/>
    </row>
    <row r="6" spans="1:26" ht="13.5" customHeight="1" x14ac:dyDescent="0.3">
      <c r="A6" s="2" t="s">
        <v>416</v>
      </c>
      <c r="B6" s="151" t="s">
        <v>417</v>
      </c>
      <c r="C6" s="152"/>
      <c r="D6" s="152"/>
      <c r="E6" s="152"/>
      <c r="F6" s="152"/>
      <c r="G6" s="152"/>
      <c r="H6" s="152"/>
      <c r="I6" s="152"/>
      <c r="J6" s="152"/>
      <c r="K6" s="153"/>
      <c r="L6" s="1"/>
      <c r="M6" s="1"/>
      <c r="N6" s="1"/>
      <c r="O6" s="1"/>
      <c r="P6" s="1"/>
      <c r="Q6" s="1"/>
      <c r="R6" s="1"/>
      <c r="S6" s="1"/>
      <c r="T6" s="1"/>
      <c r="U6" s="1"/>
      <c r="V6" s="1"/>
      <c r="W6" s="1"/>
      <c r="X6" s="1"/>
      <c r="Y6" s="1"/>
      <c r="Z6" s="1"/>
    </row>
    <row r="7" spans="1:26" ht="13.5" customHeight="1" x14ac:dyDescent="0.3">
      <c r="A7" s="79" t="s">
        <v>3</v>
      </c>
      <c r="B7" s="80" t="s">
        <v>4</v>
      </c>
      <c r="C7" s="79" t="s">
        <v>5</v>
      </c>
      <c r="D7" s="80" t="s">
        <v>6</v>
      </c>
      <c r="E7" s="80" t="s">
        <v>7</v>
      </c>
      <c r="F7" s="80" t="s">
        <v>8</v>
      </c>
      <c r="G7" s="43" t="s">
        <v>9</v>
      </c>
      <c r="H7" s="171" t="s">
        <v>10</v>
      </c>
      <c r="I7" s="153"/>
      <c r="J7" s="171" t="s">
        <v>11</v>
      </c>
      <c r="K7" s="153"/>
      <c r="L7" s="1"/>
      <c r="M7" s="1"/>
      <c r="N7" s="1"/>
      <c r="O7" s="1"/>
      <c r="P7" s="1"/>
      <c r="Q7" s="1"/>
      <c r="R7" s="1"/>
      <c r="S7" s="1"/>
      <c r="T7" s="1"/>
      <c r="U7" s="1"/>
      <c r="V7" s="1"/>
      <c r="W7" s="1"/>
      <c r="X7" s="1"/>
      <c r="Y7" s="1"/>
      <c r="Z7" s="1"/>
    </row>
    <row r="8" spans="1:26" ht="180.75" customHeight="1" x14ac:dyDescent="0.3">
      <c r="A8" s="19" t="s">
        <v>418</v>
      </c>
      <c r="B8" s="20" t="s">
        <v>419</v>
      </c>
      <c r="C8" s="35" t="s">
        <v>120</v>
      </c>
      <c r="D8" s="35" t="s">
        <v>420</v>
      </c>
      <c r="E8" s="23"/>
      <c r="F8" s="22" t="s">
        <v>421</v>
      </c>
      <c r="G8" s="23">
        <v>95</v>
      </c>
      <c r="H8" s="23" t="str">
        <f t="shared" ref="H8:H9" si="2">IF(G8&lt;=30,"No se cumple",IF(G8&lt;=59,"Se cumple insatisfactoriamente",IF(G8&lt;=79,"Se cumple aceptablemente",IF(G8&lt;=89,"Se cumple en alto grado",IF(G8&gt;=90,"Se cumple plenamente","EROR")))))</f>
        <v>Se cumple plenamente</v>
      </c>
      <c r="I8" s="23" t="str">
        <f t="shared" ref="I8:I9" si="3">IF(G8&lt;=59,"Debilidad",IF(G8&lt;=79,"Oportunidad",IF(G8&gt;=80,"Fortaleza","EROR")))</f>
        <v>Fortaleza</v>
      </c>
      <c r="J8" s="146">
        <f>(G8+G9)/2</f>
        <v>94.5</v>
      </c>
      <c r="K8" s="146" t="str">
        <f>IF(J8&lt;=30,"No se cumple",IF(J8&lt;=59,"Se cumple insatisfactoriamente",IF(J8&lt;=79,"Se cumple aceptablemente",IF(J8&lt;=89,"Se cumple en alto grado",IF(J8&gt;=90,"Se cumple plenamente","EROR")))))</f>
        <v>Se cumple plenamente</v>
      </c>
      <c r="L8" s="24"/>
      <c r="M8" s="24"/>
      <c r="N8" s="24"/>
      <c r="O8" s="24"/>
      <c r="P8" s="24"/>
      <c r="Q8" s="24"/>
      <c r="R8" s="24"/>
      <c r="S8" s="24"/>
      <c r="T8" s="24"/>
      <c r="U8" s="24"/>
      <c r="V8" s="24"/>
      <c r="W8" s="24"/>
      <c r="X8" s="24"/>
      <c r="Y8" s="24"/>
      <c r="Z8" s="24"/>
    </row>
    <row r="9" spans="1:26" ht="409.6" x14ac:dyDescent="0.3">
      <c r="A9" s="29" t="s">
        <v>422</v>
      </c>
      <c r="B9" s="30" t="s">
        <v>423</v>
      </c>
      <c r="C9" s="31" t="s">
        <v>120</v>
      </c>
      <c r="D9" s="31" t="s">
        <v>361</v>
      </c>
      <c r="E9" s="135" t="s">
        <v>42</v>
      </c>
      <c r="F9" s="37" t="s">
        <v>424</v>
      </c>
      <c r="G9" s="38">
        <v>94</v>
      </c>
      <c r="H9" s="38" t="str">
        <f t="shared" si="2"/>
        <v>Se cumple plenamente</v>
      </c>
      <c r="I9" s="38" t="str">
        <f t="shared" si="3"/>
        <v>Fortaleza</v>
      </c>
      <c r="J9" s="147"/>
      <c r="K9" s="147"/>
      <c r="L9" s="87"/>
      <c r="M9" s="87"/>
      <c r="N9" s="87"/>
      <c r="O9" s="87"/>
      <c r="P9" s="87"/>
      <c r="Q9" s="87"/>
      <c r="R9" s="87"/>
      <c r="S9" s="87"/>
      <c r="T9" s="87"/>
      <c r="U9" s="87"/>
      <c r="V9" s="87"/>
      <c r="W9" s="87"/>
      <c r="X9" s="87"/>
      <c r="Y9" s="87"/>
      <c r="Z9" s="87"/>
    </row>
    <row r="10" spans="1:26" ht="13.5" customHeight="1" x14ac:dyDescent="0.3">
      <c r="A10" s="2" t="s">
        <v>425</v>
      </c>
      <c r="B10" s="151" t="s">
        <v>426</v>
      </c>
      <c r="C10" s="152"/>
      <c r="D10" s="152"/>
      <c r="E10" s="152"/>
      <c r="F10" s="152"/>
      <c r="G10" s="152"/>
      <c r="H10" s="152"/>
      <c r="I10" s="152"/>
      <c r="J10" s="152"/>
      <c r="K10" s="153"/>
      <c r="L10" s="1"/>
      <c r="M10" s="1"/>
      <c r="N10" s="1"/>
      <c r="O10" s="1"/>
      <c r="P10" s="1"/>
      <c r="Q10" s="1"/>
      <c r="R10" s="1"/>
      <c r="S10" s="1"/>
      <c r="T10" s="1"/>
      <c r="U10" s="1"/>
      <c r="V10" s="1"/>
      <c r="W10" s="1"/>
      <c r="X10" s="1"/>
      <c r="Y10" s="1"/>
      <c r="Z10" s="1"/>
    </row>
    <row r="11" spans="1:26" ht="13.5" customHeight="1" x14ac:dyDescent="0.3">
      <c r="A11" s="79" t="s">
        <v>3</v>
      </c>
      <c r="B11" s="80" t="s">
        <v>4</v>
      </c>
      <c r="C11" s="79" t="s">
        <v>5</v>
      </c>
      <c r="D11" s="80" t="s">
        <v>6</v>
      </c>
      <c r="E11" s="80" t="s">
        <v>7</v>
      </c>
      <c r="F11" s="80" t="s">
        <v>8</v>
      </c>
      <c r="G11" s="43" t="s">
        <v>9</v>
      </c>
      <c r="H11" s="171" t="s">
        <v>10</v>
      </c>
      <c r="I11" s="153"/>
      <c r="J11" s="171" t="s">
        <v>11</v>
      </c>
      <c r="K11" s="153"/>
      <c r="L11" s="1"/>
      <c r="M11" s="1"/>
      <c r="N11" s="1"/>
      <c r="O11" s="1"/>
      <c r="P11" s="1"/>
      <c r="Q11" s="1"/>
      <c r="R11" s="1"/>
      <c r="S11" s="1"/>
      <c r="T11" s="1"/>
      <c r="U11" s="1"/>
      <c r="V11" s="1"/>
      <c r="W11" s="1"/>
      <c r="X11" s="1"/>
      <c r="Y11" s="1"/>
      <c r="Z11" s="1"/>
    </row>
    <row r="12" spans="1:26" ht="193.5" customHeight="1" x14ac:dyDescent="0.3">
      <c r="A12" s="7" t="s">
        <v>427</v>
      </c>
      <c r="B12" s="95" t="s">
        <v>428</v>
      </c>
      <c r="C12" s="21" t="s">
        <v>14</v>
      </c>
      <c r="D12" s="35" t="s">
        <v>429</v>
      </c>
      <c r="E12" s="12" t="s">
        <v>430</v>
      </c>
      <c r="F12" s="11" t="s">
        <v>431</v>
      </c>
      <c r="G12" s="12">
        <v>95</v>
      </c>
      <c r="H12" s="12" t="str">
        <f t="shared" ref="H12:H13" si="4">IF(G12&lt;=30,"No se cumple",IF(G12&lt;=59,"Se cumple insatisfactoriamente",IF(G12&lt;=79,"Se cumple aceptablemente",IF(G12&lt;=89,"Se cumple en alto grado",IF(G12&gt;=90,"Se cumple plenamente","EROR")))))</f>
        <v>Se cumple plenamente</v>
      </c>
      <c r="I12" s="12" t="str">
        <f t="shared" ref="I12:I13" si="5">IF(G12&lt;=59,"Debilidad",IF(G12&lt;=79,"Oportunidad",IF(G12&gt;=80,"Fortaleza","EROR")))</f>
        <v>Fortaleza</v>
      </c>
      <c r="J12" s="146">
        <f>(G12+G13)/2</f>
        <v>94.5</v>
      </c>
      <c r="K12" s="146" t="str">
        <f>IF(J12&lt;=30,"No se cumple",IF(J12&lt;=59,"Se cumple insatisfactoriamente",IF(J12&lt;=79,"Se cumple aceptablemente",IF(J12&lt;=89,"Se cumple en alto grado",IF(J12&gt;=90,"Se cumple plenamente","EROR")))))</f>
        <v>Se cumple plenamente</v>
      </c>
      <c r="L12" s="1"/>
      <c r="M12" s="1"/>
      <c r="N12" s="1"/>
      <c r="O12" s="1"/>
      <c r="P12" s="1"/>
      <c r="Q12" s="1"/>
      <c r="R12" s="1"/>
      <c r="S12" s="1"/>
      <c r="T12" s="1"/>
      <c r="U12" s="1"/>
      <c r="V12" s="1"/>
      <c r="W12" s="1"/>
      <c r="X12" s="1"/>
      <c r="Y12" s="1"/>
      <c r="Z12" s="1"/>
    </row>
    <row r="13" spans="1:26" ht="289.8" x14ac:dyDescent="0.3">
      <c r="A13" s="29" t="s">
        <v>432</v>
      </c>
      <c r="B13" s="91" t="s">
        <v>433</v>
      </c>
      <c r="C13" s="31" t="s">
        <v>120</v>
      </c>
      <c r="D13" s="31" t="s">
        <v>361</v>
      </c>
      <c r="E13" s="32" t="s">
        <v>42</v>
      </c>
      <c r="F13" s="39" t="s">
        <v>434</v>
      </c>
      <c r="G13" s="38">
        <v>94</v>
      </c>
      <c r="H13" s="38" t="str">
        <f t="shared" si="4"/>
        <v>Se cumple plenamente</v>
      </c>
      <c r="I13" s="38" t="str">
        <f t="shared" si="5"/>
        <v>Fortaleza</v>
      </c>
      <c r="J13" s="147"/>
      <c r="K13" s="147"/>
      <c r="L13" s="87"/>
      <c r="M13" s="87"/>
      <c r="N13" s="87"/>
      <c r="O13" s="87"/>
      <c r="P13" s="87"/>
      <c r="Q13" s="87"/>
      <c r="R13" s="87"/>
      <c r="S13" s="87"/>
      <c r="T13" s="87"/>
      <c r="U13" s="87"/>
      <c r="V13" s="87"/>
      <c r="W13" s="87"/>
      <c r="X13" s="87"/>
      <c r="Y13" s="87"/>
      <c r="Z13" s="87"/>
    </row>
    <row r="14" spans="1:26" ht="14.4"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4"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3.5" customHeight="1"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3.5" customHeight="1"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3.5" customHeight="1"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x14ac:dyDescent="0.3">
      <c r="A19" s="1"/>
      <c r="B19" s="136"/>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3.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3.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3.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3.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3.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6">
    <mergeCell ref="B6:K6"/>
    <mergeCell ref="J12:J13"/>
    <mergeCell ref="K12:K13"/>
    <mergeCell ref="H7:I7"/>
    <mergeCell ref="J7:K7"/>
    <mergeCell ref="J8:J9"/>
    <mergeCell ref="K8:K9"/>
    <mergeCell ref="B10:K10"/>
    <mergeCell ref="H11:I11"/>
    <mergeCell ref="J11:K11"/>
    <mergeCell ref="A1:K1"/>
    <mergeCell ref="B2:K2"/>
    <mergeCell ref="H3:I3"/>
    <mergeCell ref="J3:K3"/>
    <mergeCell ref="J4:J5"/>
    <mergeCell ref="K4:K5"/>
  </mergeCells>
  <dataValidations count="1">
    <dataValidation type="decimal" allowBlank="1" showErrorMessage="1" sqref="G4:G5 G8:G9 G12:G13" xr:uid="{00000000-0002-0000-0900-000000000000}">
      <formula1>0</formula1>
      <formula2>100</formula2>
    </dataValidation>
  </dataValidations>
  <pageMargins left="0.7" right="0.7" top="0.75" bottom="0.75"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topLeftCell="A12" zoomScale="70" zoomScaleNormal="70" workbookViewId="0">
      <selection activeCell="A21" sqref="A21:XFD21"/>
    </sheetView>
  </sheetViews>
  <sheetFormatPr baseColWidth="10" defaultColWidth="14.44140625" defaultRowHeight="15" customHeight="1" x14ac:dyDescent="0.3"/>
  <cols>
    <col min="1" max="1" width="18.6640625" customWidth="1"/>
    <col min="2" max="2" width="106.6640625" customWidth="1"/>
    <col min="3" max="4" width="28.44140625" customWidth="1"/>
    <col min="5" max="5" width="37.6640625" customWidth="1"/>
    <col min="6" max="6" width="51.33203125" customWidth="1"/>
    <col min="7" max="7" width="37.6640625" customWidth="1"/>
    <col min="8" max="10" width="32.44140625" customWidth="1"/>
    <col min="11" max="11" width="36.6640625" customWidth="1"/>
    <col min="12" max="26" width="11.44140625" customWidth="1"/>
  </cols>
  <sheetData>
    <row r="1" spans="1:26" ht="13.5" customHeight="1" x14ac:dyDescent="0.3">
      <c r="A1" s="181" t="s">
        <v>435</v>
      </c>
      <c r="B1" s="152"/>
      <c r="C1" s="152"/>
      <c r="D1" s="152"/>
      <c r="E1" s="152"/>
      <c r="F1" s="152"/>
      <c r="G1" s="152"/>
      <c r="H1" s="152"/>
      <c r="I1" s="152"/>
      <c r="J1" s="152"/>
      <c r="K1" s="153"/>
      <c r="L1" s="1"/>
      <c r="M1" s="1"/>
      <c r="N1" s="1"/>
      <c r="O1" s="1"/>
      <c r="P1" s="1"/>
      <c r="Q1" s="1"/>
      <c r="R1" s="1"/>
      <c r="S1" s="1"/>
      <c r="T1" s="1"/>
      <c r="U1" s="1"/>
      <c r="V1" s="1"/>
      <c r="W1" s="1"/>
      <c r="X1" s="1"/>
      <c r="Y1" s="1"/>
      <c r="Z1" s="1"/>
    </row>
    <row r="2" spans="1:26" ht="13.5" customHeight="1" x14ac:dyDescent="0.3">
      <c r="A2" s="110" t="s">
        <v>436</v>
      </c>
      <c r="B2" s="151" t="s">
        <v>437</v>
      </c>
      <c r="C2" s="152"/>
      <c r="D2" s="152"/>
      <c r="E2" s="152"/>
      <c r="F2" s="152"/>
      <c r="G2" s="152"/>
      <c r="H2" s="152"/>
      <c r="I2" s="152"/>
      <c r="J2" s="152"/>
      <c r="K2" s="153"/>
      <c r="L2" s="111"/>
      <c r="M2" s="111"/>
      <c r="N2" s="111"/>
      <c r="O2" s="111"/>
      <c r="P2" s="111"/>
      <c r="Q2" s="111"/>
      <c r="R2" s="111"/>
      <c r="S2" s="111"/>
      <c r="T2" s="111"/>
      <c r="U2" s="111"/>
      <c r="V2" s="111"/>
      <c r="W2" s="111"/>
      <c r="X2" s="111"/>
      <c r="Y2" s="111"/>
      <c r="Z2" s="111"/>
    </row>
    <row r="3" spans="1:26" ht="13.5" customHeight="1" x14ac:dyDescent="0.3">
      <c r="A3" s="79" t="s">
        <v>3</v>
      </c>
      <c r="B3" s="80" t="s">
        <v>4</v>
      </c>
      <c r="C3" s="79" t="s">
        <v>5</v>
      </c>
      <c r="D3" s="80" t="s">
        <v>6</v>
      </c>
      <c r="E3" s="80" t="s">
        <v>7</v>
      </c>
      <c r="F3" s="80" t="s">
        <v>8</v>
      </c>
      <c r="G3" s="43" t="s">
        <v>9</v>
      </c>
      <c r="H3" s="171" t="s">
        <v>10</v>
      </c>
      <c r="I3" s="153"/>
      <c r="J3" s="171" t="s">
        <v>11</v>
      </c>
      <c r="K3" s="153"/>
      <c r="L3" s="1"/>
      <c r="M3" s="1"/>
      <c r="N3" s="1"/>
      <c r="O3" s="1"/>
      <c r="P3" s="1"/>
      <c r="Q3" s="1"/>
      <c r="R3" s="1"/>
      <c r="S3" s="1"/>
      <c r="T3" s="1"/>
      <c r="U3" s="1"/>
      <c r="V3" s="1"/>
      <c r="W3" s="1"/>
      <c r="X3" s="1"/>
      <c r="Y3" s="1"/>
      <c r="Z3" s="1"/>
    </row>
    <row r="4" spans="1:26" ht="51.75" customHeight="1" x14ac:dyDescent="0.3">
      <c r="A4" s="19" t="s">
        <v>438</v>
      </c>
      <c r="B4" s="20" t="s">
        <v>439</v>
      </c>
      <c r="C4" s="21" t="s">
        <v>32</v>
      </c>
      <c r="D4" s="35" t="s">
        <v>440</v>
      </c>
      <c r="E4" s="18" t="s">
        <v>441</v>
      </c>
      <c r="F4" s="137" t="s">
        <v>442</v>
      </c>
      <c r="G4" s="12">
        <v>96</v>
      </c>
      <c r="H4" s="12" t="str">
        <f t="shared" ref="H4:H5" si="0">IF(G4&lt;=30,"No se cumple",IF(G4&lt;=59,"Se cumple insatisfactoriamente",IF(G4&lt;=79,"Se cumple aceptablemente",IF(G4&lt;=89,"Se cumple en alto grado",IF(G4&gt;=90,"Se cumple plenamente","EROR")))))</f>
        <v>Se cumple plenamente</v>
      </c>
      <c r="I4" s="12" t="str">
        <f t="shared" ref="I4:I5" si="1">IF(G4&lt;=59,"Debilidad",IF(G4&lt;=79,"Oportunidad",IF(G4&gt;=80,"Fortaleza","EROR")))</f>
        <v>Fortaleza</v>
      </c>
      <c r="J4" s="146">
        <f>(G4+G5)/2</f>
        <v>94</v>
      </c>
      <c r="K4" s="146" t="str">
        <f>IF(J4&lt;=30,"No se cumple",IF(J4&lt;=59,"Se cumple insatisfactoriamente",IF(J4&lt;=79,"Se cumple aceptablemente",IF(J4&lt;=89,"Se cumple en alto grado",IF(J4&gt;=90,"Se cumple plenamente","EROR")))))</f>
        <v>Se cumple plenamente</v>
      </c>
      <c r="L4" s="1"/>
      <c r="M4" s="1"/>
      <c r="N4" s="1"/>
      <c r="O4" s="1"/>
      <c r="P4" s="1"/>
      <c r="Q4" s="1"/>
      <c r="R4" s="1"/>
      <c r="S4" s="1"/>
      <c r="T4" s="1"/>
      <c r="U4" s="1"/>
      <c r="V4" s="1"/>
      <c r="W4" s="1"/>
      <c r="X4" s="1"/>
      <c r="Y4" s="1"/>
      <c r="Z4" s="1"/>
    </row>
    <row r="5" spans="1:26" ht="409.6" x14ac:dyDescent="0.3">
      <c r="A5" s="29" t="s">
        <v>443</v>
      </c>
      <c r="B5" s="91" t="s">
        <v>444</v>
      </c>
      <c r="C5" s="31" t="s">
        <v>120</v>
      </c>
      <c r="D5" s="31" t="s">
        <v>361</v>
      </c>
      <c r="E5" s="32" t="s">
        <v>42</v>
      </c>
      <c r="F5" s="39" t="s">
        <v>445</v>
      </c>
      <c r="G5" s="38">
        <v>92</v>
      </c>
      <c r="H5" s="38" t="str">
        <f t="shared" si="0"/>
        <v>Se cumple plenamente</v>
      </c>
      <c r="I5" s="38" t="str">
        <f t="shared" si="1"/>
        <v>Fortaleza</v>
      </c>
      <c r="J5" s="147"/>
      <c r="K5" s="147"/>
      <c r="L5" s="87"/>
      <c r="M5" s="87"/>
      <c r="N5" s="87"/>
      <c r="O5" s="87"/>
      <c r="P5" s="87"/>
      <c r="Q5" s="87"/>
      <c r="R5" s="87"/>
      <c r="S5" s="87"/>
      <c r="T5" s="87"/>
      <c r="U5" s="87"/>
      <c r="V5" s="87"/>
      <c r="W5" s="87"/>
      <c r="X5" s="87"/>
      <c r="Y5" s="87"/>
      <c r="Z5" s="87"/>
    </row>
    <row r="6" spans="1:26" ht="13.5" customHeight="1" x14ac:dyDescent="0.3">
      <c r="A6" s="26" t="s">
        <v>446</v>
      </c>
      <c r="B6" s="151" t="s">
        <v>447</v>
      </c>
      <c r="C6" s="152"/>
      <c r="D6" s="152"/>
      <c r="E6" s="152"/>
      <c r="F6" s="152"/>
      <c r="G6" s="152"/>
      <c r="H6" s="152"/>
      <c r="I6" s="152"/>
      <c r="J6" s="152"/>
      <c r="K6" s="153"/>
      <c r="L6" s="111"/>
      <c r="M6" s="111"/>
      <c r="N6" s="111"/>
      <c r="O6" s="111"/>
      <c r="P6" s="111"/>
      <c r="Q6" s="111"/>
      <c r="R6" s="111"/>
      <c r="S6" s="111"/>
      <c r="T6" s="111"/>
      <c r="U6" s="111"/>
      <c r="V6" s="111"/>
      <c r="W6" s="111"/>
      <c r="X6" s="111"/>
      <c r="Y6" s="111"/>
      <c r="Z6" s="111"/>
    </row>
    <row r="7" spans="1:26" ht="13.5" customHeight="1" x14ac:dyDescent="0.3">
      <c r="A7" s="79" t="s">
        <v>3</v>
      </c>
      <c r="B7" s="138" t="s">
        <v>4</v>
      </c>
      <c r="C7" s="139" t="s">
        <v>5</v>
      </c>
      <c r="D7" s="80" t="s">
        <v>6</v>
      </c>
      <c r="E7" s="80" t="s">
        <v>7</v>
      </c>
      <c r="F7" s="80" t="s">
        <v>8</v>
      </c>
      <c r="G7" s="43" t="s">
        <v>9</v>
      </c>
      <c r="H7" s="171" t="s">
        <v>10</v>
      </c>
      <c r="I7" s="153"/>
      <c r="J7" s="171" t="s">
        <v>11</v>
      </c>
      <c r="K7" s="153"/>
      <c r="L7" s="1"/>
      <c r="M7" s="1"/>
      <c r="N7" s="1"/>
      <c r="O7" s="1"/>
      <c r="P7" s="1"/>
      <c r="Q7" s="1"/>
      <c r="R7" s="1"/>
      <c r="S7" s="1"/>
      <c r="T7" s="1"/>
      <c r="U7" s="1"/>
      <c r="V7" s="1"/>
      <c r="W7" s="1"/>
      <c r="X7" s="1"/>
      <c r="Y7" s="1"/>
      <c r="Z7" s="1"/>
    </row>
    <row r="8" spans="1:26" ht="220.8" x14ac:dyDescent="0.3">
      <c r="A8" s="7" t="s">
        <v>448</v>
      </c>
      <c r="B8" s="16" t="s">
        <v>449</v>
      </c>
      <c r="C8" s="140" t="s">
        <v>228</v>
      </c>
      <c r="D8" s="141" t="s">
        <v>15</v>
      </c>
      <c r="E8" s="12"/>
      <c r="F8" s="11" t="s">
        <v>450</v>
      </c>
      <c r="G8" s="12">
        <v>95</v>
      </c>
      <c r="H8" s="12" t="str">
        <f t="shared" ref="H8:H9" si="2">IF(G8&lt;=30,"No se cumple",IF(G8&lt;=59,"Se cumple insatisfactoriamente",IF(G8&lt;=79,"Se cumple aceptablemente",IF(G8&lt;=89,"Se cumple en alto grado",IF(G8&gt;=90,"Se cumple plenamente","EROR")))))</f>
        <v>Se cumple plenamente</v>
      </c>
      <c r="I8" s="12" t="str">
        <f t="shared" ref="I8:I9" si="3">IF(G8&lt;=59,"Debilidad",IF(G8&lt;=79,"Oportunidad",IF(G8&gt;=80,"Fortaleza","EROR")))</f>
        <v>Fortaleza</v>
      </c>
      <c r="J8" s="146">
        <f>(G8+G9)/2</f>
        <v>93.5</v>
      </c>
      <c r="K8" s="146" t="str">
        <f>IF(J8&lt;=30,"No se cumple",IF(J8&lt;=59,"Se cumple insatisfactoriamente",IF(J8&lt;=79,"Se cumple aceptablemente",IF(J8&lt;=89,"Se cumple en alto grado",IF(J8&gt;=90,"Se cumple plenamente","EROR")))))</f>
        <v>Se cumple plenamente</v>
      </c>
      <c r="L8" s="1"/>
      <c r="M8" s="1"/>
      <c r="N8" s="1"/>
      <c r="O8" s="1"/>
      <c r="P8" s="1"/>
      <c r="Q8" s="1"/>
      <c r="R8" s="1"/>
      <c r="S8" s="1"/>
      <c r="T8" s="1"/>
      <c r="U8" s="1"/>
      <c r="V8" s="1"/>
      <c r="W8" s="1"/>
      <c r="X8" s="1"/>
      <c r="Y8" s="1"/>
      <c r="Z8" s="1"/>
    </row>
    <row r="9" spans="1:26" ht="409.6" x14ac:dyDescent="0.3">
      <c r="A9" s="29" t="s">
        <v>451</v>
      </c>
      <c r="B9" s="30" t="s">
        <v>452</v>
      </c>
      <c r="C9" s="31" t="s">
        <v>120</v>
      </c>
      <c r="D9" s="31" t="s">
        <v>361</v>
      </c>
      <c r="E9" s="32" t="s">
        <v>42</v>
      </c>
      <c r="F9" s="39" t="s">
        <v>453</v>
      </c>
      <c r="G9" s="38">
        <v>92</v>
      </c>
      <c r="H9" s="38" t="str">
        <f t="shared" si="2"/>
        <v>Se cumple plenamente</v>
      </c>
      <c r="I9" s="38" t="str">
        <f t="shared" si="3"/>
        <v>Fortaleza</v>
      </c>
      <c r="J9" s="147"/>
      <c r="K9" s="147"/>
      <c r="L9" s="87"/>
      <c r="M9" s="87"/>
      <c r="N9" s="87"/>
      <c r="O9" s="87"/>
      <c r="P9" s="87"/>
      <c r="Q9" s="87"/>
      <c r="R9" s="87"/>
      <c r="S9" s="87"/>
      <c r="T9" s="87"/>
      <c r="U9" s="87"/>
      <c r="V9" s="87"/>
      <c r="W9" s="87"/>
      <c r="X9" s="87"/>
      <c r="Y9" s="87"/>
      <c r="Z9" s="87"/>
    </row>
    <row r="10" spans="1:26" ht="13.5" customHeight="1" x14ac:dyDescent="0.3">
      <c r="A10" s="26" t="s">
        <v>454</v>
      </c>
      <c r="B10" s="151" t="s">
        <v>455</v>
      </c>
      <c r="C10" s="152"/>
      <c r="D10" s="152"/>
      <c r="E10" s="152"/>
      <c r="F10" s="152"/>
      <c r="G10" s="152"/>
      <c r="H10" s="152"/>
      <c r="I10" s="152"/>
      <c r="J10" s="152"/>
      <c r="K10" s="153"/>
      <c r="L10" s="111"/>
      <c r="M10" s="111"/>
      <c r="N10" s="111"/>
      <c r="O10" s="111"/>
      <c r="P10" s="111"/>
      <c r="Q10" s="111"/>
      <c r="R10" s="111"/>
      <c r="S10" s="111"/>
      <c r="T10" s="111"/>
      <c r="U10" s="111"/>
      <c r="V10" s="111"/>
      <c r="W10" s="111"/>
      <c r="X10" s="111"/>
      <c r="Y10" s="111"/>
      <c r="Z10" s="111"/>
    </row>
    <row r="11" spans="1:26" ht="13.5" customHeight="1" x14ac:dyDescent="0.3">
      <c r="A11" s="79" t="s">
        <v>3</v>
      </c>
      <c r="B11" s="138" t="s">
        <v>4</v>
      </c>
      <c r="C11" s="139" t="s">
        <v>5</v>
      </c>
      <c r="D11" s="80" t="s">
        <v>6</v>
      </c>
      <c r="E11" s="80" t="s">
        <v>7</v>
      </c>
      <c r="F11" s="80" t="s">
        <v>8</v>
      </c>
      <c r="G11" s="43" t="s">
        <v>9</v>
      </c>
      <c r="H11" s="171" t="s">
        <v>10</v>
      </c>
      <c r="I11" s="153"/>
      <c r="J11" s="171" t="s">
        <v>11</v>
      </c>
      <c r="K11" s="153"/>
      <c r="L11" s="1"/>
      <c r="M11" s="1"/>
      <c r="N11" s="1"/>
      <c r="O11" s="1"/>
      <c r="P11" s="1"/>
      <c r="Q11" s="1"/>
      <c r="R11" s="1"/>
      <c r="S11" s="1"/>
      <c r="T11" s="1"/>
      <c r="U11" s="1"/>
      <c r="V11" s="1"/>
      <c r="W11" s="1"/>
      <c r="X11" s="1"/>
      <c r="Y11" s="1"/>
      <c r="Z11" s="1"/>
    </row>
    <row r="12" spans="1:26" ht="289.8" x14ac:dyDescent="0.3">
      <c r="A12" s="29" t="s">
        <v>456</v>
      </c>
      <c r="B12" s="30" t="s">
        <v>457</v>
      </c>
      <c r="C12" s="31" t="s">
        <v>120</v>
      </c>
      <c r="D12" s="31" t="s">
        <v>361</v>
      </c>
      <c r="E12" s="32" t="s">
        <v>42</v>
      </c>
      <c r="F12" s="37" t="s">
        <v>458</v>
      </c>
      <c r="G12" s="38">
        <v>91</v>
      </c>
      <c r="H12" s="38" t="str">
        <f t="shared" ref="H12:H14" si="4">IF(G12&lt;=30,"No se cumple",IF(G12&lt;=59,"Se cumple insatisfactoriamente",IF(G12&lt;=79,"Se cumple aceptablemente",IF(G12&lt;=89,"Se cumple en alto grado",IF(G12&gt;=90,"Se cumple plenamente","EROR")))))</f>
        <v>Se cumple plenamente</v>
      </c>
      <c r="I12" s="38" t="str">
        <f t="shared" ref="I12:I14" si="5">IF(G12&lt;=59,"Debilidad",IF(G12&lt;=79,"Oportunidad",IF(G12&gt;=80,"Fortaleza","EROR")))</f>
        <v>Fortaleza</v>
      </c>
      <c r="J12" s="146">
        <f>(G12+G13+G14)/3</f>
        <v>93.666666666666671</v>
      </c>
      <c r="K12" s="146" t="str">
        <f>IF(J12&lt;=30,"No se cumple",IF(J12&lt;=59,"Se cumple insatisfactoriamente",IF(J12&lt;=79,"Se cumple aceptablemente",IF(J12&lt;=89,"Se cumple en alto grado",IF(J12&gt;=90,"Se cumple plenamente","EROR")))))</f>
        <v>Se cumple plenamente</v>
      </c>
      <c r="L12" s="87"/>
      <c r="M12" s="87"/>
      <c r="N12" s="87"/>
      <c r="O12" s="87"/>
      <c r="P12" s="87"/>
      <c r="Q12" s="87"/>
      <c r="R12" s="87"/>
      <c r="S12" s="87"/>
      <c r="T12" s="87"/>
      <c r="U12" s="87"/>
      <c r="V12" s="87"/>
      <c r="W12" s="87"/>
      <c r="X12" s="87"/>
      <c r="Y12" s="87"/>
      <c r="Z12" s="87"/>
    </row>
    <row r="13" spans="1:26" ht="409.6" x14ac:dyDescent="0.3">
      <c r="A13" s="7" t="s">
        <v>459</v>
      </c>
      <c r="B13" s="20" t="s">
        <v>460</v>
      </c>
      <c r="C13" s="141" t="s">
        <v>87</v>
      </c>
      <c r="D13" s="140" t="s">
        <v>461</v>
      </c>
      <c r="E13" s="10" t="s">
        <v>462</v>
      </c>
      <c r="F13" s="11" t="s">
        <v>463</v>
      </c>
      <c r="G13" s="12">
        <v>95</v>
      </c>
      <c r="H13" s="12" t="str">
        <f t="shared" si="4"/>
        <v>Se cumple plenamente</v>
      </c>
      <c r="I13" s="12" t="str">
        <f t="shared" si="5"/>
        <v>Fortaleza</v>
      </c>
      <c r="J13" s="147"/>
      <c r="K13" s="147"/>
      <c r="L13" s="1"/>
      <c r="M13" s="1"/>
      <c r="N13" s="1"/>
      <c r="O13" s="1"/>
      <c r="P13" s="1"/>
      <c r="Q13" s="1"/>
      <c r="R13" s="1"/>
      <c r="S13" s="1"/>
      <c r="T13" s="1"/>
      <c r="U13" s="1"/>
      <c r="V13" s="1"/>
      <c r="W13" s="1"/>
      <c r="X13" s="1"/>
      <c r="Y13" s="1"/>
      <c r="Z13" s="1"/>
    </row>
    <row r="14" spans="1:26" ht="317.39999999999998" x14ac:dyDescent="0.3">
      <c r="A14" s="142" t="s">
        <v>464</v>
      </c>
      <c r="B14" s="34" t="s">
        <v>465</v>
      </c>
      <c r="C14" s="21" t="s">
        <v>87</v>
      </c>
      <c r="D14" s="35" t="s">
        <v>466</v>
      </c>
      <c r="E14" s="10" t="s">
        <v>462</v>
      </c>
      <c r="F14" s="11" t="s">
        <v>467</v>
      </c>
      <c r="G14" s="12">
        <v>95</v>
      </c>
      <c r="H14" s="12" t="str">
        <f t="shared" si="4"/>
        <v>Se cumple plenamente</v>
      </c>
      <c r="I14" s="12" t="str">
        <f t="shared" si="5"/>
        <v>Fortaleza</v>
      </c>
      <c r="J14" s="147"/>
      <c r="K14" s="148"/>
      <c r="L14" s="143"/>
      <c r="M14" s="143"/>
      <c r="N14" s="143"/>
      <c r="O14" s="143"/>
      <c r="P14" s="143"/>
      <c r="Q14" s="143"/>
      <c r="R14" s="143"/>
      <c r="S14" s="143"/>
      <c r="T14" s="143"/>
      <c r="U14" s="143"/>
      <c r="V14" s="143"/>
      <c r="W14" s="143"/>
      <c r="X14" s="143"/>
      <c r="Y14" s="143"/>
      <c r="Z14" s="143"/>
    </row>
    <row r="15" spans="1:26" ht="13.5" customHeight="1" x14ac:dyDescent="0.3">
      <c r="A15" s="26" t="s">
        <v>468</v>
      </c>
      <c r="B15" s="151" t="s">
        <v>469</v>
      </c>
      <c r="C15" s="152"/>
      <c r="D15" s="152"/>
      <c r="E15" s="152"/>
      <c r="F15" s="152"/>
      <c r="G15" s="152"/>
      <c r="H15" s="152"/>
      <c r="I15" s="152"/>
      <c r="J15" s="152"/>
      <c r="K15" s="153"/>
      <c r="L15" s="111"/>
      <c r="M15" s="111"/>
      <c r="N15" s="111"/>
      <c r="O15" s="111"/>
      <c r="P15" s="111"/>
      <c r="Q15" s="111"/>
      <c r="R15" s="111"/>
      <c r="S15" s="111"/>
      <c r="T15" s="111"/>
      <c r="U15" s="111"/>
      <c r="V15" s="111"/>
      <c r="W15" s="111"/>
      <c r="X15" s="111"/>
      <c r="Y15" s="111"/>
      <c r="Z15" s="111"/>
    </row>
    <row r="16" spans="1:26" ht="13.5" customHeight="1" x14ac:dyDescent="0.3">
      <c r="A16" s="79" t="s">
        <v>3</v>
      </c>
      <c r="B16" s="138" t="s">
        <v>4</v>
      </c>
      <c r="C16" s="139" t="s">
        <v>5</v>
      </c>
      <c r="D16" s="80" t="s">
        <v>6</v>
      </c>
      <c r="E16" s="80" t="s">
        <v>7</v>
      </c>
      <c r="F16" s="80" t="s">
        <v>8</v>
      </c>
      <c r="G16" s="43" t="s">
        <v>9</v>
      </c>
      <c r="H16" s="171" t="s">
        <v>10</v>
      </c>
      <c r="I16" s="153"/>
      <c r="J16" s="171" t="s">
        <v>11</v>
      </c>
      <c r="K16" s="153"/>
      <c r="L16" s="1"/>
      <c r="M16" s="1"/>
      <c r="N16" s="1"/>
      <c r="O16" s="1"/>
      <c r="P16" s="1"/>
      <c r="Q16" s="1"/>
      <c r="R16" s="1"/>
      <c r="S16" s="1"/>
      <c r="T16" s="1"/>
      <c r="U16" s="1"/>
      <c r="V16" s="1"/>
      <c r="W16" s="1"/>
      <c r="X16" s="1"/>
      <c r="Y16" s="1"/>
      <c r="Z16" s="1"/>
    </row>
    <row r="17" spans="1:26" ht="168.75" customHeight="1" x14ac:dyDescent="0.3">
      <c r="A17" s="7" t="s">
        <v>470</v>
      </c>
      <c r="B17" s="97" t="s">
        <v>471</v>
      </c>
      <c r="C17" s="9" t="s">
        <v>472</v>
      </c>
      <c r="D17" s="17" t="s">
        <v>473</v>
      </c>
      <c r="E17" s="12" t="s">
        <v>474</v>
      </c>
      <c r="F17" s="11" t="s">
        <v>475</v>
      </c>
      <c r="G17" s="12">
        <v>93</v>
      </c>
      <c r="H17" s="12" t="str">
        <f t="shared" ref="H17:H18" si="6">IF(G17&lt;=30,"No se cumple",IF(G17&lt;=59,"Se cumple insatisfactoriamente",IF(G17&lt;=79,"Se cumple aceptablemente",IF(G17&lt;=89,"Se cumple en alto grado",IF(G17&gt;=90,"Se cumple plenamente","EROR")))))</f>
        <v>Se cumple plenamente</v>
      </c>
      <c r="I17" s="12" t="str">
        <f t="shared" ref="I17:I18" si="7">IF(G17&lt;=59,"Debilidad",IF(G17&lt;=79,"Oportunidad",IF(G17&gt;=80,"Fortaleza","EROR")))</f>
        <v>Fortaleza</v>
      </c>
      <c r="J17" s="146">
        <f>(G17+G18)/2</f>
        <v>93.5</v>
      </c>
      <c r="K17" s="146" t="str">
        <f>IF(J17&lt;=30,"No se cumple",IF(J17&lt;=59,"Se cumple insatisfactoriamente",IF(J17&lt;=79,"Se cumple aceptablemente",IF(J17&lt;=89,"Se cumple en alto grado",IF(J17&gt;=90,"Se cumple plenamente","EROR")))))</f>
        <v>Se cumple plenamente</v>
      </c>
      <c r="L17" s="1"/>
      <c r="M17" s="1"/>
      <c r="N17" s="1"/>
      <c r="O17" s="1"/>
      <c r="P17" s="1"/>
      <c r="Q17" s="1"/>
      <c r="R17" s="1"/>
      <c r="S17" s="1"/>
      <c r="T17" s="1"/>
      <c r="U17" s="1"/>
      <c r="V17" s="1"/>
      <c r="W17" s="1"/>
      <c r="X17" s="1"/>
      <c r="Y17" s="1"/>
      <c r="Z17" s="1"/>
    </row>
    <row r="18" spans="1:26" ht="165.6" x14ac:dyDescent="0.3">
      <c r="A18" s="29" t="s">
        <v>476</v>
      </c>
      <c r="B18" s="135" t="s">
        <v>477</v>
      </c>
      <c r="C18" s="31" t="s">
        <v>120</v>
      </c>
      <c r="D18" s="31" t="s">
        <v>361</v>
      </c>
      <c r="E18" s="32" t="s">
        <v>42</v>
      </c>
      <c r="F18" s="37" t="s">
        <v>478</v>
      </c>
      <c r="G18" s="38">
        <v>94</v>
      </c>
      <c r="H18" s="38" t="str">
        <f t="shared" si="6"/>
        <v>Se cumple plenamente</v>
      </c>
      <c r="I18" s="38" t="str">
        <f t="shared" si="7"/>
        <v>Fortaleza</v>
      </c>
      <c r="J18" s="147"/>
      <c r="K18" s="147"/>
      <c r="L18" s="87"/>
      <c r="M18" s="87"/>
      <c r="N18" s="87"/>
      <c r="O18" s="87"/>
      <c r="P18" s="87"/>
      <c r="Q18" s="87"/>
      <c r="R18" s="87"/>
      <c r="S18" s="87"/>
      <c r="T18" s="87"/>
      <c r="U18" s="87"/>
      <c r="V18" s="87"/>
      <c r="W18" s="87"/>
      <c r="X18" s="87"/>
      <c r="Y18" s="87"/>
      <c r="Z18" s="87"/>
    </row>
    <row r="19" spans="1:26" ht="14.4" x14ac:dyDescent="0.3">
      <c r="A19" s="26" t="s">
        <v>479</v>
      </c>
      <c r="B19" s="151" t="s">
        <v>480</v>
      </c>
      <c r="C19" s="152"/>
      <c r="D19" s="152"/>
      <c r="E19" s="152"/>
      <c r="F19" s="152"/>
      <c r="G19" s="152"/>
      <c r="H19" s="152"/>
      <c r="I19" s="152"/>
      <c r="J19" s="152"/>
      <c r="K19" s="153"/>
      <c r="L19" s="111"/>
      <c r="M19" s="111"/>
      <c r="N19" s="111"/>
      <c r="O19" s="111"/>
      <c r="P19" s="111"/>
      <c r="Q19" s="111"/>
      <c r="R19" s="111"/>
      <c r="S19" s="111"/>
      <c r="T19" s="111"/>
      <c r="U19" s="111"/>
      <c r="V19" s="111"/>
      <c r="W19" s="111"/>
      <c r="X19" s="111"/>
      <c r="Y19" s="111"/>
      <c r="Z19" s="111"/>
    </row>
    <row r="20" spans="1:26" ht="14.4" x14ac:dyDescent="0.3">
      <c r="A20" s="79" t="s">
        <v>3</v>
      </c>
      <c r="B20" s="138" t="s">
        <v>4</v>
      </c>
      <c r="C20" s="139" t="s">
        <v>5</v>
      </c>
      <c r="D20" s="80" t="s">
        <v>6</v>
      </c>
      <c r="E20" s="80" t="s">
        <v>7</v>
      </c>
      <c r="F20" s="80" t="s">
        <v>8</v>
      </c>
      <c r="G20" s="43" t="s">
        <v>9</v>
      </c>
      <c r="H20" s="171" t="s">
        <v>10</v>
      </c>
      <c r="I20" s="153"/>
      <c r="J20" s="171" t="s">
        <v>11</v>
      </c>
      <c r="K20" s="153"/>
      <c r="L20" s="1"/>
      <c r="M20" s="1"/>
      <c r="N20" s="1"/>
      <c r="O20" s="1"/>
      <c r="P20" s="1"/>
      <c r="Q20" s="1"/>
      <c r="R20" s="1"/>
      <c r="S20" s="1"/>
      <c r="T20" s="1"/>
      <c r="U20" s="1"/>
      <c r="V20" s="1"/>
      <c r="W20" s="1"/>
      <c r="X20" s="1"/>
      <c r="Y20" s="1"/>
      <c r="Z20" s="1"/>
    </row>
    <row r="21" spans="1:26" ht="63.6" customHeight="1" x14ac:dyDescent="0.3">
      <c r="A21" s="144" t="s">
        <v>481</v>
      </c>
      <c r="B21" s="16" t="s">
        <v>482</v>
      </c>
      <c r="C21" s="17" t="s">
        <v>228</v>
      </c>
      <c r="D21" s="17" t="s">
        <v>483</v>
      </c>
      <c r="E21" s="18" t="s">
        <v>484</v>
      </c>
      <c r="F21" s="11" t="s">
        <v>485</v>
      </c>
      <c r="G21" s="12">
        <v>96</v>
      </c>
      <c r="H21" s="12" t="str">
        <f t="shared" ref="H21:H22" si="8">IF(G21&lt;=30,"No se cumple",IF(G21&lt;=59,"Se cumple insatisfactoriamente",IF(G21&lt;=79,"Se cumple aceptablemente",IF(G21&lt;=89,"Se cumple en alto grado",IF(G21&gt;=90,"Se cumple plenamente","EROR")))))</f>
        <v>Se cumple plenamente</v>
      </c>
      <c r="I21" s="12" t="str">
        <f t="shared" ref="I21:I22" si="9">IF(G21&lt;=59,"Debilidad",IF(G21&lt;=79,"Oportunidad",IF(G21&gt;=80,"Fortaleza","EROR")))</f>
        <v>Fortaleza</v>
      </c>
      <c r="J21" s="146">
        <f>(G21+G22)/2</f>
        <v>95</v>
      </c>
      <c r="K21" s="146" t="str">
        <f>IF(J21&lt;=30,"No se cumple",IF(J21&lt;=59,"Se cumple insatisfactoriamente",IF(J21&lt;=79,"Se cumple aceptablemente",IF(J21&lt;=89,"Se cumple en alto grado",IF(J21&gt;=90,"Se cumple plenamente","EROR")))))</f>
        <v>Se cumple plenamente</v>
      </c>
      <c r="L21" s="1"/>
      <c r="M21" s="1"/>
      <c r="N21" s="1"/>
      <c r="O21" s="1"/>
      <c r="P21" s="1"/>
      <c r="Q21" s="1"/>
      <c r="R21" s="1"/>
      <c r="S21" s="1"/>
      <c r="T21" s="1"/>
      <c r="U21" s="1"/>
      <c r="V21" s="1"/>
      <c r="W21" s="1"/>
      <c r="X21" s="1"/>
      <c r="Y21" s="1"/>
      <c r="Z21" s="1"/>
    </row>
    <row r="22" spans="1:26" ht="106.2" customHeight="1" x14ac:dyDescent="0.3">
      <c r="A22" s="144" t="s">
        <v>486</v>
      </c>
      <c r="B22" s="8" t="s">
        <v>487</v>
      </c>
      <c r="C22" s="9" t="s">
        <v>32</v>
      </c>
      <c r="D22" s="17" t="s">
        <v>488</v>
      </c>
      <c r="E22" s="10" t="s">
        <v>489</v>
      </c>
      <c r="F22" s="18" t="s">
        <v>490</v>
      </c>
      <c r="G22" s="12">
        <v>94</v>
      </c>
      <c r="H22" s="12" t="str">
        <f t="shared" si="8"/>
        <v>Se cumple plenamente</v>
      </c>
      <c r="I22" s="12" t="str">
        <f t="shared" si="9"/>
        <v>Fortaleza</v>
      </c>
      <c r="J22" s="147"/>
      <c r="K22" s="148"/>
      <c r="L22" s="1"/>
      <c r="M22" s="1"/>
      <c r="N22" s="1"/>
      <c r="O22" s="1"/>
      <c r="P22" s="1"/>
      <c r="Q22" s="1"/>
      <c r="R22" s="1"/>
      <c r="S22" s="1"/>
      <c r="T22" s="1"/>
      <c r="U22" s="1"/>
      <c r="V22" s="1"/>
      <c r="W22" s="1"/>
      <c r="X22" s="1"/>
      <c r="Y22" s="1"/>
      <c r="Z22" s="1"/>
    </row>
    <row r="23" spans="1:26" ht="13.5" customHeight="1" x14ac:dyDescent="0.3">
      <c r="A23" s="26" t="s">
        <v>491</v>
      </c>
      <c r="B23" s="151" t="s">
        <v>492</v>
      </c>
      <c r="C23" s="152"/>
      <c r="D23" s="152"/>
      <c r="E23" s="152"/>
      <c r="F23" s="152"/>
      <c r="G23" s="152"/>
      <c r="H23" s="152"/>
      <c r="I23" s="152"/>
      <c r="J23" s="152"/>
      <c r="K23" s="153"/>
      <c r="L23" s="111"/>
      <c r="M23" s="111"/>
      <c r="N23" s="111"/>
      <c r="O23" s="111"/>
      <c r="P23" s="111"/>
      <c r="Q23" s="111"/>
      <c r="R23" s="111"/>
      <c r="S23" s="111"/>
      <c r="T23" s="111"/>
      <c r="U23" s="111"/>
      <c r="V23" s="111"/>
      <c r="W23" s="111"/>
      <c r="X23" s="111"/>
      <c r="Y23" s="111"/>
      <c r="Z23" s="111"/>
    </row>
    <row r="24" spans="1:26" ht="13.5" customHeight="1" x14ac:dyDescent="0.3">
      <c r="A24" s="184" t="s">
        <v>3</v>
      </c>
      <c r="B24" s="185" t="s">
        <v>4</v>
      </c>
      <c r="C24" s="186" t="s">
        <v>5</v>
      </c>
      <c r="D24" s="187" t="s">
        <v>6</v>
      </c>
      <c r="E24" s="187" t="s">
        <v>7</v>
      </c>
      <c r="F24" s="187" t="s">
        <v>8</v>
      </c>
      <c r="G24" s="188" t="s">
        <v>9</v>
      </c>
      <c r="H24" s="182" t="s">
        <v>10</v>
      </c>
      <c r="I24" s="189"/>
      <c r="J24" s="182" t="s">
        <v>11</v>
      </c>
      <c r="K24" s="189"/>
      <c r="L24" s="1"/>
      <c r="M24" s="1"/>
      <c r="N24" s="1"/>
      <c r="O24" s="1"/>
      <c r="P24" s="1"/>
      <c r="Q24" s="1"/>
      <c r="R24" s="1"/>
      <c r="S24" s="1"/>
      <c r="T24" s="1"/>
      <c r="U24" s="1"/>
      <c r="V24" s="1"/>
      <c r="W24" s="1"/>
      <c r="X24" s="1"/>
      <c r="Y24" s="1"/>
      <c r="Z24" s="1"/>
    </row>
    <row r="25" spans="1:26" ht="171" customHeight="1" x14ac:dyDescent="0.3">
      <c r="A25" s="190" t="s">
        <v>493</v>
      </c>
      <c r="B25" s="191" t="s">
        <v>494</v>
      </c>
      <c r="C25" s="190" t="s">
        <v>32</v>
      </c>
      <c r="D25" s="190" t="s">
        <v>361</v>
      </c>
      <c r="E25" s="183"/>
      <c r="F25" s="192" t="s">
        <v>495</v>
      </c>
      <c r="G25" s="183">
        <v>95</v>
      </c>
      <c r="H25" s="183" t="str">
        <f>IF(G25&lt;=30,"No se cumple",IF(G25&lt;=59,"Se cumple insatisfactoriamente",IF(G25&lt;=79,"Se cumple aceptablemente",IF(G25&lt;=89,"Se cumple en alto grado",IF(G25&gt;=90,"Se cumple plenamente","EROR")))))</f>
        <v>Se cumple plenamente</v>
      </c>
      <c r="I25" s="183" t="str">
        <f>IF(G25&lt;=59,"Debilidad",IF(G25&lt;=79,"Oportunidad",IF(G25&gt;=80,"Fortaleza","EROR")))</f>
        <v>Fortaleza</v>
      </c>
      <c r="J25" s="183">
        <f>(G25)/1</f>
        <v>95</v>
      </c>
      <c r="K25" s="183" t="str">
        <f>IF(J25&lt;=30,"No se cumple",IF(J25&lt;=59,"Se cumple insatisfactoriamente",IF(J25&lt;=79,"Se cumple aceptablemente",IF(J25&lt;=89,"Se cumple en alto grado",IF(J25&gt;=90,"Se cumple plenamente","EROR")))))</f>
        <v>Se cumple plenamente</v>
      </c>
      <c r="L25" s="1"/>
      <c r="M25" s="1"/>
      <c r="N25" s="1"/>
      <c r="O25" s="1"/>
      <c r="P25" s="1"/>
      <c r="Q25" s="1"/>
      <c r="R25" s="1"/>
      <c r="S25" s="1"/>
      <c r="T25" s="1"/>
      <c r="U25" s="1"/>
      <c r="V25" s="1"/>
      <c r="W25" s="1"/>
      <c r="X25" s="1"/>
      <c r="Y25" s="1"/>
      <c r="Z25" s="1"/>
    </row>
    <row r="26" spans="1:26" ht="13.5" customHeight="1" x14ac:dyDescent="0.3">
      <c r="A26" s="120"/>
      <c r="B26" s="179"/>
      <c r="C26" s="150"/>
      <c r="D26" s="121"/>
      <c r="E26" s="1"/>
      <c r="F26" s="1"/>
      <c r="G26" s="1"/>
      <c r="H26" s="1"/>
      <c r="I26" s="1"/>
      <c r="J26" s="1"/>
      <c r="K26" s="1"/>
      <c r="L26" s="1"/>
      <c r="M26" s="1"/>
      <c r="N26" s="1"/>
      <c r="O26" s="1"/>
      <c r="P26" s="1"/>
      <c r="Q26" s="1"/>
      <c r="R26" s="1"/>
      <c r="S26" s="1"/>
      <c r="T26" s="1"/>
      <c r="U26" s="1"/>
      <c r="V26" s="1"/>
      <c r="W26" s="1"/>
      <c r="X26" s="1"/>
      <c r="Y26" s="1"/>
      <c r="Z26" s="1"/>
    </row>
    <row r="27" spans="1:26" ht="13.5" customHeight="1" x14ac:dyDescent="0.3">
      <c r="A27" s="122"/>
      <c r="B27" s="123"/>
      <c r="C27" s="122"/>
      <c r="D27" s="122"/>
      <c r="E27" s="1"/>
      <c r="F27" s="1"/>
      <c r="G27" s="1"/>
      <c r="H27" s="1"/>
      <c r="I27" s="1"/>
      <c r="J27" s="1"/>
      <c r="K27" s="1"/>
      <c r="L27" s="1"/>
      <c r="M27" s="1"/>
      <c r="N27" s="1"/>
      <c r="O27" s="1"/>
      <c r="P27" s="1"/>
      <c r="Q27" s="1"/>
      <c r="R27" s="1"/>
      <c r="S27" s="1"/>
      <c r="T27" s="1"/>
      <c r="U27" s="1"/>
      <c r="V27" s="1"/>
      <c r="W27" s="1"/>
      <c r="X27" s="1"/>
      <c r="Y27" s="1"/>
      <c r="Z27" s="1"/>
    </row>
    <row r="28" spans="1:26" ht="13.5" customHeight="1" x14ac:dyDescent="0.3">
      <c r="A28" s="107"/>
      <c r="B28" s="108"/>
      <c r="C28" s="109"/>
      <c r="D28" s="109"/>
      <c r="E28" s="1"/>
      <c r="F28" s="1"/>
      <c r="G28" s="1"/>
      <c r="H28" s="1"/>
      <c r="I28" s="1"/>
      <c r="J28" s="1"/>
      <c r="K28" s="1"/>
      <c r="L28" s="1"/>
      <c r="M28" s="1"/>
      <c r="N28" s="1"/>
      <c r="O28" s="1"/>
      <c r="P28" s="1"/>
      <c r="Q28" s="1"/>
      <c r="R28" s="1"/>
      <c r="S28" s="1"/>
      <c r="T28" s="1"/>
      <c r="U28" s="1"/>
      <c r="V28" s="1"/>
      <c r="W28" s="1"/>
      <c r="X28" s="1"/>
      <c r="Y28" s="1"/>
      <c r="Z28" s="1"/>
    </row>
    <row r="29" spans="1:26" ht="13.5" customHeight="1" x14ac:dyDescent="0.3">
      <c r="A29" s="107"/>
      <c r="B29" s="108"/>
      <c r="C29" s="109"/>
      <c r="D29" s="109"/>
      <c r="E29" s="1"/>
      <c r="F29" s="1"/>
      <c r="G29" s="1"/>
      <c r="H29" s="1"/>
      <c r="I29" s="1"/>
      <c r="J29" s="1"/>
      <c r="K29" s="1"/>
      <c r="L29" s="1"/>
      <c r="M29" s="1"/>
      <c r="N29" s="1"/>
      <c r="O29" s="1"/>
      <c r="P29" s="1"/>
      <c r="Q29" s="1"/>
      <c r="R29" s="1"/>
      <c r="S29" s="1"/>
      <c r="T29" s="1"/>
      <c r="U29" s="1"/>
      <c r="V29" s="1"/>
      <c r="W29" s="1"/>
      <c r="X29" s="1"/>
      <c r="Y29" s="1"/>
      <c r="Z29" s="1"/>
    </row>
    <row r="30" spans="1:26" ht="25.5" customHeight="1" x14ac:dyDescent="0.3">
      <c r="A30" s="107"/>
      <c r="B30" s="145"/>
      <c r="C30" s="109"/>
      <c r="D30" s="109"/>
      <c r="E30" s="1"/>
      <c r="F30" s="1"/>
      <c r="G30" s="1"/>
      <c r="H30" s="1"/>
      <c r="I30" s="1"/>
      <c r="J30" s="1"/>
      <c r="K30" s="1"/>
      <c r="L30" s="1"/>
      <c r="M30" s="1"/>
      <c r="N30" s="1"/>
      <c r="O30" s="1"/>
      <c r="P30" s="1"/>
      <c r="Q30" s="1"/>
      <c r="R30" s="1"/>
      <c r="S30" s="1"/>
      <c r="T30" s="1"/>
      <c r="U30" s="1"/>
      <c r="V30" s="1"/>
      <c r="W30" s="1"/>
      <c r="X30" s="1"/>
      <c r="Y30" s="1"/>
      <c r="Z30" s="1"/>
    </row>
    <row r="31" spans="1:26" ht="13.5" customHeight="1" x14ac:dyDescent="0.3">
      <c r="A31" s="107"/>
      <c r="B31" s="145"/>
      <c r="C31" s="109"/>
      <c r="D31" s="109"/>
      <c r="E31" s="1"/>
      <c r="F31" s="1"/>
      <c r="G31" s="1"/>
      <c r="H31" s="1"/>
      <c r="I31" s="1"/>
      <c r="J31" s="1"/>
      <c r="K31" s="1"/>
      <c r="L31" s="1"/>
      <c r="M31" s="1"/>
      <c r="N31" s="1"/>
      <c r="O31" s="1"/>
      <c r="P31" s="1"/>
      <c r="Q31" s="1"/>
      <c r="R31" s="1"/>
      <c r="S31" s="1"/>
      <c r="T31" s="1"/>
      <c r="U31" s="1"/>
      <c r="V31" s="1"/>
      <c r="W31" s="1"/>
      <c r="X31" s="1"/>
      <c r="Y31" s="1"/>
      <c r="Z31" s="1"/>
    </row>
    <row r="32" spans="1:26" ht="16.5" customHeight="1" x14ac:dyDescent="0.3">
      <c r="A32" s="107"/>
      <c r="B32" s="145"/>
      <c r="C32" s="109"/>
      <c r="D32" s="109"/>
      <c r="E32" s="1"/>
      <c r="F32" s="1"/>
      <c r="G32" s="1"/>
      <c r="H32" s="1"/>
      <c r="I32" s="1"/>
      <c r="J32" s="1"/>
      <c r="K32" s="1"/>
      <c r="L32" s="1"/>
      <c r="M32" s="1"/>
      <c r="N32" s="1"/>
      <c r="O32" s="1"/>
      <c r="P32" s="1"/>
      <c r="Q32" s="1"/>
      <c r="R32" s="1"/>
      <c r="S32" s="1"/>
      <c r="T32" s="1"/>
      <c r="U32" s="1"/>
      <c r="V32" s="1"/>
      <c r="W32" s="1"/>
      <c r="X32" s="1"/>
      <c r="Y32" s="1"/>
      <c r="Z32" s="1"/>
    </row>
    <row r="33" spans="1:26" ht="13.5" customHeight="1" x14ac:dyDescent="0.3">
      <c r="A33" s="107"/>
      <c r="B33" s="179"/>
      <c r="C33" s="150"/>
      <c r="D33" s="121"/>
      <c r="E33" s="1"/>
      <c r="F33" s="1"/>
      <c r="G33" s="1"/>
      <c r="H33" s="1"/>
      <c r="I33" s="1"/>
      <c r="J33" s="1"/>
      <c r="K33" s="1"/>
      <c r="L33" s="1"/>
      <c r="M33" s="1"/>
      <c r="N33" s="1"/>
      <c r="O33" s="1"/>
      <c r="P33" s="1"/>
      <c r="Q33" s="1"/>
      <c r="R33" s="1"/>
      <c r="S33" s="1"/>
      <c r="T33" s="1"/>
      <c r="U33" s="1"/>
      <c r="V33" s="1"/>
      <c r="W33" s="1"/>
      <c r="X33" s="1"/>
      <c r="Y33" s="1"/>
      <c r="Z33" s="1"/>
    </row>
    <row r="34" spans="1:26" ht="13.5" customHeight="1" x14ac:dyDescent="0.3">
      <c r="A34" s="122"/>
      <c r="B34" s="123"/>
      <c r="C34" s="122"/>
      <c r="D34" s="122"/>
      <c r="E34" s="1"/>
      <c r="F34" s="1"/>
      <c r="G34" s="1"/>
      <c r="H34" s="1"/>
      <c r="I34" s="1"/>
      <c r="J34" s="1"/>
      <c r="K34" s="1"/>
      <c r="L34" s="1"/>
      <c r="M34" s="1"/>
      <c r="N34" s="1"/>
      <c r="O34" s="1"/>
      <c r="P34" s="1"/>
      <c r="Q34" s="1"/>
      <c r="R34" s="1"/>
      <c r="S34" s="1"/>
      <c r="T34" s="1"/>
      <c r="U34" s="1"/>
      <c r="V34" s="1"/>
      <c r="W34" s="1"/>
      <c r="X34" s="1"/>
      <c r="Y34" s="1"/>
      <c r="Z34" s="1"/>
    </row>
    <row r="35" spans="1:26" ht="13.5" customHeight="1" x14ac:dyDescent="0.3">
      <c r="A35" s="107"/>
      <c r="B35" s="108"/>
      <c r="C35" s="109"/>
      <c r="D35" s="109"/>
      <c r="E35" s="1"/>
      <c r="F35" s="1"/>
      <c r="G35" s="1"/>
      <c r="H35" s="1"/>
      <c r="I35" s="1"/>
      <c r="J35" s="1"/>
      <c r="K35" s="1"/>
      <c r="L35" s="1"/>
      <c r="M35" s="1"/>
      <c r="N35" s="1"/>
      <c r="O35" s="1"/>
      <c r="P35" s="1"/>
      <c r="Q35" s="1"/>
      <c r="R35" s="1"/>
      <c r="S35" s="1"/>
      <c r="T35" s="1"/>
      <c r="U35" s="1"/>
      <c r="V35" s="1"/>
      <c r="W35" s="1"/>
      <c r="X35" s="1"/>
      <c r="Y35" s="1"/>
      <c r="Z35" s="1"/>
    </row>
    <row r="36" spans="1:26" ht="13.5" customHeight="1" x14ac:dyDescent="0.3">
      <c r="A36" s="107"/>
      <c r="B36" s="108"/>
      <c r="C36" s="109"/>
      <c r="D36" s="109"/>
      <c r="E36" s="1"/>
      <c r="F36" s="1"/>
      <c r="G36" s="1"/>
      <c r="H36" s="1"/>
      <c r="I36" s="1"/>
      <c r="J36" s="1"/>
      <c r="K36" s="1"/>
      <c r="L36" s="1"/>
      <c r="M36" s="1"/>
      <c r="N36" s="1"/>
      <c r="O36" s="1"/>
      <c r="P36" s="1"/>
      <c r="Q36" s="1"/>
      <c r="R36" s="1"/>
      <c r="S36" s="1"/>
      <c r="T36" s="1"/>
      <c r="U36" s="1"/>
      <c r="V36" s="1"/>
      <c r="W36" s="1"/>
      <c r="X36" s="1"/>
      <c r="Y36" s="1"/>
      <c r="Z36" s="1"/>
    </row>
    <row r="37" spans="1:26" ht="13.5" customHeight="1" x14ac:dyDescent="0.3">
      <c r="A37" s="107"/>
      <c r="B37" s="108"/>
      <c r="C37" s="109"/>
      <c r="D37" s="109"/>
      <c r="E37" s="1"/>
      <c r="F37" s="1"/>
      <c r="G37" s="1"/>
      <c r="H37" s="1"/>
      <c r="I37" s="1"/>
      <c r="J37" s="1"/>
      <c r="K37" s="1"/>
      <c r="L37" s="1"/>
      <c r="M37" s="1"/>
      <c r="N37" s="1"/>
      <c r="O37" s="1"/>
      <c r="P37" s="1"/>
      <c r="Q37" s="1"/>
      <c r="R37" s="1"/>
      <c r="S37" s="1"/>
      <c r="T37" s="1"/>
      <c r="U37" s="1"/>
      <c r="V37" s="1"/>
      <c r="W37" s="1"/>
      <c r="X37" s="1"/>
      <c r="Y37" s="1"/>
      <c r="Z37" s="1"/>
    </row>
    <row r="38" spans="1:26" ht="13.5" customHeight="1" x14ac:dyDescent="0.3">
      <c r="A38" s="107"/>
      <c r="B38" s="108"/>
      <c r="C38" s="109"/>
      <c r="D38" s="109"/>
      <c r="E38" s="1"/>
      <c r="F38" s="1"/>
      <c r="G38" s="1"/>
      <c r="H38" s="1"/>
      <c r="I38" s="1"/>
      <c r="J38" s="1"/>
      <c r="K38" s="1"/>
      <c r="L38" s="1"/>
      <c r="M38" s="1"/>
      <c r="N38" s="1"/>
      <c r="O38" s="1"/>
      <c r="P38" s="1"/>
      <c r="Q38" s="1"/>
      <c r="R38" s="1"/>
      <c r="S38" s="1"/>
      <c r="T38" s="1"/>
      <c r="U38" s="1"/>
      <c r="V38" s="1"/>
      <c r="W38" s="1"/>
      <c r="X38" s="1"/>
      <c r="Y38" s="1"/>
      <c r="Z38" s="1"/>
    </row>
    <row r="39" spans="1:26" ht="13.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row r="227" spans="1:26" ht="15.75" customHeight="1" x14ac:dyDescent="0.3"/>
    <row r="228" spans="1:26" ht="15.75" customHeight="1" x14ac:dyDescent="0.3"/>
    <row r="229" spans="1:26" ht="15.75" customHeight="1" x14ac:dyDescent="0.3"/>
    <row r="230" spans="1:26" ht="15.75" customHeight="1" x14ac:dyDescent="0.3"/>
    <row r="231" spans="1:26" ht="15.75" customHeight="1" x14ac:dyDescent="0.3"/>
    <row r="232" spans="1:26" ht="15.75" customHeight="1" x14ac:dyDescent="0.3"/>
    <row r="233" spans="1:26" ht="15.75" customHeight="1" x14ac:dyDescent="0.3"/>
    <row r="234" spans="1:26" ht="15.75" customHeight="1" x14ac:dyDescent="0.3"/>
    <row r="235" spans="1:26" ht="15.75" customHeight="1" x14ac:dyDescent="0.3"/>
    <row r="236" spans="1:26" ht="15.75" customHeight="1" x14ac:dyDescent="0.3"/>
    <row r="237" spans="1:26" ht="15.75" customHeight="1" x14ac:dyDescent="0.3"/>
    <row r="238" spans="1:26" ht="15.75" customHeight="1" x14ac:dyDescent="0.3"/>
    <row r="239" spans="1:26" ht="15.75" customHeight="1" x14ac:dyDescent="0.3"/>
    <row r="240" spans="1:26"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31">
    <mergeCell ref="B26:C26"/>
    <mergeCell ref="B33:C33"/>
    <mergeCell ref="J12:J14"/>
    <mergeCell ref="K12:K14"/>
    <mergeCell ref="B15:K15"/>
    <mergeCell ref="J16:K16"/>
    <mergeCell ref="J17:J18"/>
    <mergeCell ref="K17:K18"/>
    <mergeCell ref="B19:K19"/>
    <mergeCell ref="J21:J22"/>
    <mergeCell ref="K21:K22"/>
    <mergeCell ref="H24:I24"/>
    <mergeCell ref="J24:K24"/>
    <mergeCell ref="J20:K20"/>
    <mergeCell ref="B23:K23"/>
    <mergeCell ref="B10:K10"/>
    <mergeCell ref="H11:I11"/>
    <mergeCell ref="J11:K11"/>
    <mergeCell ref="H16:I16"/>
    <mergeCell ref="H20:I20"/>
    <mergeCell ref="B6:K6"/>
    <mergeCell ref="H7:I7"/>
    <mergeCell ref="J7:K7"/>
    <mergeCell ref="J8:J9"/>
    <mergeCell ref="K8:K9"/>
    <mergeCell ref="A1:K1"/>
    <mergeCell ref="B2:K2"/>
    <mergeCell ref="H3:I3"/>
    <mergeCell ref="J3:K3"/>
    <mergeCell ref="J4:J5"/>
    <mergeCell ref="K4:K5"/>
  </mergeCells>
  <dataValidations count="1">
    <dataValidation type="decimal" allowBlank="1" showErrorMessage="1" sqref="G4:G5 G8:G9 G12:G14 G17:G18 G21:G22 G25" xr:uid="{00000000-0002-0000-0A00-000000000000}">
      <formula1>0</formula1>
      <formula2>100</formula2>
    </dataValidation>
  </dataValidations>
  <pageMargins left="0.7" right="0.7" top="0.75" bottom="0.75" header="0" footer="0"/>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topLeftCell="A8" zoomScale="70" zoomScaleNormal="70" workbookViewId="0">
      <selection activeCell="B9" sqref="B9:F9"/>
    </sheetView>
  </sheetViews>
  <sheetFormatPr baseColWidth="10" defaultColWidth="14.44140625" defaultRowHeight="15" customHeight="1" x14ac:dyDescent="0.3"/>
  <cols>
    <col min="1" max="1" width="18.6640625" customWidth="1"/>
    <col min="2" max="2" width="106.6640625" customWidth="1"/>
    <col min="3" max="4" width="28.44140625" customWidth="1"/>
    <col min="5" max="5" width="29.44140625" customWidth="1"/>
    <col min="6" max="6" width="52.33203125" customWidth="1"/>
    <col min="7" max="7" width="40.44140625" customWidth="1"/>
    <col min="8" max="8" width="37.44140625" customWidth="1"/>
    <col min="9" max="10" width="32.6640625" customWidth="1"/>
    <col min="11" max="11" width="37.6640625" customWidth="1"/>
    <col min="12" max="26" width="11.44140625" customWidth="1"/>
  </cols>
  <sheetData>
    <row r="1" spans="1:26" ht="19.5" customHeight="1" x14ac:dyDescent="0.3">
      <c r="A1" s="181" t="s">
        <v>496</v>
      </c>
      <c r="B1" s="152"/>
      <c r="C1" s="152"/>
      <c r="D1" s="152"/>
      <c r="E1" s="152"/>
      <c r="F1" s="152"/>
      <c r="G1" s="152"/>
      <c r="H1" s="152"/>
      <c r="I1" s="152"/>
      <c r="J1" s="152"/>
      <c r="K1" s="153"/>
      <c r="L1" s="1"/>
      <c r="M1" s="1"/>
      <c r="N1" s="1"/>
      <c r="O1" s="1"/>
      <c r="P1" s="1"/>
      <c r="Q1" s="1"/>
      <c r="R1" s="1"/>
      <c r="S1" s="1"/>
      <c r="T1" s="1"/>
      <c r="U1" s="1"/>
      <c r="V1" s="1"/>
      <c r="W1" s="1"/>
      <c r="X1" s="1"/>
      <c r="Y1" s="1"/>
      <c r="Z1" s="1"/>
    </row>
    <row r="2" spans="1:26" ht="13.5" customHeight="1" x14ac:dyDescent="0.3">
      <c r="A2" s="110" t="s">
        <v>497</v>
      </c>
      <c r="B2" s="151" t="s">
        <v>498</v>
      </c>
      <c r="C2" s="152"/>
      <c r="D2" s="152"/>
      <c r="E2" s="152"/>
      <c r="F2" s="152"/>
      <c r="G2" s="152"/>
      <c r="H2" s="152"/>
      <c r="I2" s="152"/>
      <c r="J2" s="152"/>
      <c r="K2" s="153"/>
      <c r="L2" s="111"/>
      <c r="M2" s="111"/>
      <c r="N2" s="111"/>
      <c r="O2" s="111"/>
      <c r="P2" s="111"/>
      <c r="Q2" s="111"/>
      <c r="R2" s="111"/>
      <c r="S2" s="111"/>
      <c r="T2" s="111"/>
      <c r="U2" s="111"/>
      <c r="V2" s="111"/>
      <c r="W2" s="111"/>
      <c r="X2" s="111"/>
      <c r="Y2" s="111"/>
      <c r="Z2" s="111"/>
    </row>
    <row r="3" spans="1:26" ht="13.5" customHeight="1" x14ac:dyDescent="0.3">
      <c r="A3" s="79" t="s">
        <v>3</v>
      </c>
      <c r="B3" s="80" t="s">
        <v>4</v>
      </c>
      <c r="C3" s="79" t="s">
        <v>5</v>
      </c>
      <c r="D3" s="80" t="s">
        <v>6</v>
      </c>
      <c r="E3" s="80" t="s">
        <v>7</v>
      </c>
      <c r="F3" s="80" t="s">
        <v>8</v>
      </c>
      <c r="G3" s="43" t="s">
        <v>9</v>
      </c>
      <c r="H3" s="171" t="s">
        <v>10</v>
      </c>
      <c r="I3" s="153"/>
      <c r="J3" s="171" t="s">
        <v>11</v>
      </c>
      <c r="K3" s="153"/>
      <c r="L3" s="1"/>
      <c r="M3" s="1"/>
      <c r="N3" s="1"/>
      <c r="O3" s="1"/>
      <c r="P3" s="1"/>
      <c r="Q3" s="1"/>
      <c r="R3" s="1"/>
      <c r="S3" s="1"/>
      <c r="T3" s="1"/>
      <c r="U3" s="1"/>
      <c r="V3" s="1"/>
      <c r="W3" s="1"/>
      <c r="X3" s="1"/>
      <c r="Y3" s="1"/>
      <c r="Z3" s="1"/>
    </row>
    <row r="4" spans="1:26" ht="236.25" customHeight="1" x14ac:dyDescent="0.3">
      <c r="A4" s="19" t="s">
        <v>499</v>
      </c>
      <c r="B4" s="20" t="s">
        <v>500</v>
      </c>
      <c r="C4" s="35" t="s">
        <v>32</v>
      </c>
      <c r="D4" s="35" t="s">
        <v>501</v>
      </c>
      <c r="E4" s="18" t="s">
        <v>502</v>
      </c>
      <c r="F4" s="11" t="s">
        <v>503</v>
      </c>
      <c r="G4" s="12">
        <v>95</v>
      </c>
      <c r="H4" s="12" t="str">
        <f t="shared" ref="H4:H5" si="0">IF(G4&lt;=30,"No se cumple",IF(G4&lt;=59,"Se cumple insatisfactoriamente",IF(G4&lt;=79,"Se cumple aceptablemente",IF(G4&lt;=89,"Se cumple en alto grado",IF(G4&gt;=90,"Se cumple plenamente","EROR")))))</f>
        <v>Se cumple plenamente</v>
      </c>
      <c r="I4" s="12" t="str">
        <f t="shared" ref="I4:I5" si="1">IF(G4&lt;=59,"Debilidad",IF(G4&lt;=79,"Oportunidad",IF(G4&gt;=80,"Fortaleza","EROR")))</f>
        <v>Fortaleza</v>
      </c>
      <c r="J4" s="146">
        <f>(G4+G5)/2</f>
        <v>95</v>
      </c>
      <c r="K4" s="146" t="str">
        <f>IF(J4&lt;=30,"No se cumple",IF(J4&lt;=59,"Se cumple insatisfactoriamente",IF(J4&lt;=79,"Se cumple aceptablemente",IF(J4&lt;=89,"Se cumple en alto grado",IF(J4&gt;=90,"Se cumple plenamente","EROR")))))</f>
        <v>Se cumple plenamente</v>
      </c>
      <c r="L4" s="1"/>
      <c r="M4" s="1"/>
      <c r="N4" s="1"/>
      <c r="O4" s="1"/>
      <c r="P4" s="1"/>
      <c r="Q4" s="1"/>
      <c r="R4" s="1"/>
      <c r="S4" s="1"/>
      <c r="T4" s="1"/>
      <c r="U4" s="1"/>
      <c r="V4" s="1"/>
      <c r="W4" s="1"/>
      <c r="X4" s="1"/>
      <c r="Y4" s="1"/>
      <c r="Z4" s="1"/>
    </row>
    <row r="5" spans="1:26" ht="409.6" x14ac:dyDescent="0.3">
      <c r="A5" s="19" t="s">
        <v>504</v>
      </c>
      <c r="B5" s="20" t="s">
        <v>505</v>
      </c>
      <c r="C5" s="21" t="s">
        <v>32</v>
      </c>
      <c r="D5" s="21" t="s">
        <v>506</v>
      </c>
      <c r="E5" s="12" t="s">
        <v>507</v>
      </c>
      <c r="F5" s="11" t="s">
        <v>508</v>
      </c>
      <c r="G5" s="12">
        <v>95</v>
      </c>
      <c r="H5" s="12" t="str">
        <f t="shared" si="0"/>
        <v>Se cumple plenamente</v>
      </c>
      <c r="I5" s="12" t="str">
        <f t="shared" si="1"/>
        <v>Fortaleza</v>
      </c>
      <c r="J5" s="147"/>
      <c r="K5" s="148"/>
      <c r="L5" s="1"/>
      <c r="M5" s="1"/>
      <c r="N5" s="1"/>
      <c r="O5" s="1"/>
      <c r="P5" s="1"/>
      <c r="Q5" s="1"/>
      <c r="R5" s="1"/>
      <c r="S5" s="1"/>
      <c r="T5" s="1"/>
      <c r="U5" s="1"/>
      <c r="V5" s="1"/>
      <c r="W5" s="1"/>
      <c r="X5" s="1"/>
      <c r="Y5" s="1"/>
      <c r="Z5" s="1"/>
    </row>
    <row r="6" spans="1:26" ht="13.5" customHeight="1" x14ac:dyDescent="0.3">
      <c r="A6" s="26" t="s">
        <v>509</v>
      </c>
      <c r="B6" s="151" t="s">
        <v>510</v>
      </c>
      <c r="C6" s="152"/>
      <c r="D6" s="152"/>
      <c r="E6" s="152"/>
      <c r="F6" s="152"/>
      <c r="G6" s="152"/>
      <c r="H6" s="152"/>
      <c r="I6" s="152"/>
      <c r="J6" s="152"/>
      <c r="K6" s="153"/>
      <c r="L6" s="111"/>
      <c r="M6" s="111"/>
      <c r="N6" s="111"/>
      <c r="O6" s="111"/>
      <c r="P6" s="111"/>
      <c r="Q6" s="111"/>
      <c r="R6" s="111"/>
      <c r="S6" s="111"/>
      <c r="T6" s="111"/>
      <c r="U6" s="111"/>
      <c r="V6" s="111"/>
      <c r="W6" s="111"/>
      <c r="X6" s="111"/>
      <c r="Y6" s="111"/>
      <c r="Z6" s="111"/>
    </row>
    <row r="7" spans="1:26" ht="13.5" customHeight="1" x14ac:dyDescent="0.3">
      <c r="A7" s="79" t="s">
        <v>3</v>
      </c>
      <c r="B7" s="138" t="s">
        <v>4</v>
      </c>
      <c r="C7" s="139" t="s">
        <v>5</v>
      </c>
      <c r="D7" s="80" t="s">
        <v>6</v>
      </c>
      <c r="E7" s="80" t="s">
        <v>7</v>
      </c>
      <c r="F7" s="80" t="s">
        <v>8</v>
      </c>
      <c r="G7" s="43" t="s">
        <v>9</v>
      </c>
      <c r="H7" s="171" t="s">
        <v>10</v>
      </c>
      <c r="I7" s="153"/>
      <c r="J7" s="171" t="s">
        <v>11</v>
      </c>
      <c r="K7" s="153"/>
      <c r="L7" s="1"/>
      <c r="M7" s="1"/>
      <c r="N7" s="1"/>
      <c r="O7" s="1"/>
      <c r="P7" s="1"/>
      <c r="Q7" s="1"/>
      <c r="R7" s="1"/>
      <c r="S7" s="1"/>
      <c r="T7" s="1"/>
      <c r="U7" s="1"/>
      <c r="V7" s="1"/>
      <c r="W7" s="1"/>
      <c r="X7" s="1"/>
      <c r="Y7" s="1"/>
      <c r="Z7" s="1"/>
    </row>
    <row r="8" spans="1:26" ht="372.6" x14ac:dyDescent="0.3">
      <c r="A8" s="7" t="s">
        <v>511</v>
      </c>
      <c r="B8" s="16" t="s">
        <v>505</v>
      </c>
      <c r="C8" s="35" t="s">
        <v>32</v>
      </c>
      <c r="D8" s="35" t="s">
        <v>512</v>
      </c>
      <c r="E8" s="18" t="s">
        <v>502</v>
      </c>
      <c r="F8" s="18" t="s">
        <v>513</v>
      </c>
      <c r="G8" s="12">
        <v>95</v>
      </c>
      <c r="H8" s="12" t="str">
        <f t="shared" ref="H8:H9" si="2">IF(G8&lt;=30,"No se cumple",IF(G8&lt;=59,"Se cumple insatisfactoriamente",IF(G8&lt;=79,"Se cumple aceptablemente",IF(G8&lt;=89,"Se cumple en alto grado",IF(G8&gt;=90,"Se cumple plenamente","EROR")))))</f>
        <v>Se cumple plenamente</v>
      </c>
      <c r="I8" s="12" t="str">
        <f t="shared" ref="I8:I9" si="3">IF(G8&lt;=59,"Debilidad",IF(G8&lt;=79,"Oportunidad",IF(G8&gt;=80,"Fortaleza","EROR")))</f>
        <v>Fortaleza</v>
      </c>
      <c r="J8" s="146">
        <f>(G8+G9)/2</f>
        <v>94.5</v>
      </c>
      <c r="K8" s="146" t="str">
        <f>IF(J8&lt;=30,"No se cumple",IF(J8&lt;=59,"Se cumple insatisfactoriamente",IF(J8&lt;=79,"Se cumple aceptablemente",IF(J8&lt;=89,"Se cumple en alto grado",IF(J8&gt;=90,"Se cumple plenamente","EROR")))))</f>
        <v>Se cumple plenamente</v>
      </c>
      <c r="L8" s="1"/>
      <c r="M8" s="1"/>
      <c r="N8" s="1"/>
      <c r="O8" s="1"/>
      <c r="P8" s="1"/>
      <c r="Q8" s="1"/>
      <c r="R8" s="1"/>
      <c r="S8" s="1"/>
      <c r="T8" s="1"/>
      <c r="U8" s="1"/>
      <c r="V8" s="1"/>
      <c r="W8" s="1"/>
      <c r="X8" s="1"/>
      <c r="Y8" s="1"/>
      <c r="Z8" s="1"/>
    </row>
    <row r="9" spans="1:26" ht="372.6" x14ac:dyDescent="0.3">
      <c r="A9" s="29" t="s">
        <v>514</v>
      </c>
      <c r="B9" s="30" t="s">
        <v>515</v>
      </c>
      <c r="C9" s="31" t="s">
        <v>120</v>
      </c>
      <c r="D9" s="31" t="s">
        <v>361</v>
      </c>
      <c r="E9" s="32" t="s">
        <v>42</v>
      </c>
      <c r="F9" s="37" t="s">
        <v>516</v>
      </c>
      <c r="G9" s="38">
        <v>94</v>
      </c>
      <c r="H9" s="38" t="str">
        <f t="shared" si="2"/>
        <v>Se cumple plenamente</v>
      </c>
      <c r="I9" s="38" t="str">
        <f t="shared" si="3"/>
        <v>Fortaleza</v>
      </c>
      <c r="J9" s="147"/>
      <c r="K9" s="147"/>
      <c r="L9" s="87"/>
      <c r="M9" s="87"/>
      <c r="N9" s="87"/>
      <c r="O9" s="87"/>
      <c r="P9" s="87"/>
      <c r="Q9" s="87"/>
      <c r="R9" s="87"/>
      <c r="S9" s="87"/>
      <c r="T9" s="87"/>
      <c r="U9" s="87"/>
      <c r="V9" s="87"/>
      <c r="W9" s="87"/>
      <c r="X9" s="87"/>
      <c r="Y9" s="87"/>
      <c r="Z9" s="87"/>
    </row>
    <row r="10" spans="1:26" ht="13.5" customHeight="1" x14ac:dyDescent="0.3">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3.5" customHeight="1" x14ac:dyDescent="0.3">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3.5" customHeight="1" x14ac:dyDescent="0.3">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3.5" customHeight="1"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3.5" customHeight="1"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3.5" customHeight="1"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3.5" customHeight="1"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3.5" customHeight="1"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3.5" customHeight="1"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3.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3.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3.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3.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3.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1">
    <mergeCell ref="H7:I7"/>
    <mergeCell ref="J7:K7"/>
    <mergeCell ref="J8:J9"/>
    <mergeCell ref="K8:K9"/>
    <mergeCell ref="A1:K1"/>
    <mergeCell ref="B2:K2"/>
    <mergeCell ref="H3:I3"/>
    <mergeCell ref="J3:K3"/>
    <mergeCell ref="J4:J5"/>
    <mergeCell ref="K4:K5"/>
    <mergeCell ref="B6:K6"/>
  </mergeCells>
  <dataValidations count="1">
    <dataValidation type="decimal" allowBlank="1" showErrorMessage="1" sqref="G4:G5 G8:G9" xr:uid="{00000000-0002-0000-0B00-000000000000}">
      <formula1>0</formula1>
      <formula2>100</formula2>
    </dataValidation>
  </dataValidation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FACTOR 1</vt:lpstr>
      <vt:lpstr>FACTOR 2</vt:lpstr>
      <vt:lpstr>FACTOR 3</vt:lpstr>
      <vt:lpstr>FACTOR 4</vt:lpstr>
      <vt:lpstr>FACTOR 5</vt:lpstr>
      <vt:lpstr>FACTOR 6</vt:lpstr>
      <vt:lpstr>FACTOR 7</vt:lpstr>
      <vt:lpstr>FACTOR 8</vt:lpstr>
      <vt:lpstr>FACTOR 9</vt:lpstr>
      <vt:lpstr>FACTOR 10</vt:lpstr>
      <vt:lpstr>FACTOR 11</vt:lpstr>
      <vt:lpstr>FACTOR 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GUTIERREZ</dc:creator>
  <cp:lastModifiedBy>Adanud Meza</cp:lastModifiedBy>
  <dcterms:created xsi:type="dcterms:W3CDTF">2025-02-26T14:53:20Z</dcterms:created>
  <dcterms:modified xsi:type="dcterms:W3CDTF">2025-05-22T18:49:29Z</dcterms:modified>
</cp:coreProperties>
</file>